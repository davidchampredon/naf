
<file path=[Content_Types].xml><?xml version="1.0" encoding="utf-8"?>
<Types xmlns="http://schemas.openxmlformats.org/package/2006/content-types">
  <Default Extension="xml" ContentType="application/xml"/>
  <Default Extension="jpeg" ContentType="image/jpeg"/>
  <Default Extension="bin" ContentType="application/vnd.ms-office.vbaProject"/>
  <Default Extension="rels" ContentType="application/vnd.openxmlformats-package.relationships+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pivotTables/pivotTable3.xml" ContentType="application/vnd.openxmlformats-officedocument.spreadsheetml.pivotTable+xml"/>
  <Override PartName="/xl/pivotTables/pivotTable4.xml" ContentType="application/vnd.openxmlformats-officedocument.spreadsheetml.pivotTab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4" Type="http://schemas.openxmlformats.org/officeDocument/2006/relationships/extended-properties" Target="docProps/app.xml"/><Relationship Id="rId1" Type="http://schemas.openxmlformats.org/officeDocument/2006/relationships/officeDocument" Target="xl/workbook.xml"/><Relationship Id="rId2" Type="http://schemas.openxmlformats.org/package/2006/relationships/metadata/thumbnail" Target="docProps/thumbnail.jpeg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27729" codeName="{00000000-0000-0000-0000-000000000000}"/>
  <workbookPr showInkAnnotation="0" codeName="ThisWorkbook" autoCompressPictures="0"/>
  <bookViews>
    <workbookView xWindow="20260" yWindow="180" windowWidth="34800" windowHeight="24660" tabRatio="500"/>
  </bookViews>
  <sheets>
    <sheet name="FinalTable" sheetId="3" r:id="rId1"/>
    <sheet name="pivot" sheetId="2" r:id="rId2"/>
    <sheet name="paste_table_1.csv_here" sheetId="1" r:id="rId3"/>
  </sheets>
  <calcPr calcId="140000" calcMode="manual" concurrentCalc="0"/>
  <pivotCaches>
    <pivotCache cacheId="1" r:id="rId4"/>
  </pivotCaches>
  <extLs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D14" i="3" l="1"/>
  <c r="K29" i="3"/>
  <c r="J29" i="3"/>
  <c r="I29" i="3"/>
  <c r="H29" i="3"/>
  <c r="G29" i="3"/>
  <c r="F29" i="3"/>
  <c r="E29" i="3"/>
  <c r="D29" i="3"/>
  <c r="K28" i="3"/>
  <c r="J28" i="3"/>
  <c r="I28" i="3"/>
  <c r="H28" i="3"/>
  <c r="G28" i="3"/>
  <c r="F28" i="3"/>
  <c r="E28" i="3"/>
  <c r="D28" i="3"/>
  <c r="K27" i="3"/>
  <c r="J27" i="3"/>
  <c r="I27" i="3"/>
  <c r="H27" i="3"/>
  <c r="G27" i="3"/>
  <c r="F27" i="3"/>
  <c r="E27" i="3"/>
  <c r="D27" i="3"/>
  <c r="K26" i="3"/>
  <c r="J26" i="3"/>
  <c r="I26" i="3"/>
  <c r="H26" i="3"/>
  <c r="G26" i="3"/>
  <c r="F26" i="3"/>
  <c r="E26" i="3"/>
  <c r="D26" i="3"/>
  <c r="K25" i="3"/>
  <c r="J25" i="3"/>
  <c r="I25" i="3"/>
  <c r="H25" i="3"/>
  <c r="G25" i="3"/>
  <c r="F25" i="3"/>
  <c r="E25" i="3"/>
  <c r="D25" i="3"/>
  <c r="K24" i="3"/>
  <c r="J24" i="3"/>
  <c r="I24" i="3"/>
  <c r="H24" i="3"/>
  <c r="G24" i="3"/>
  <c r="F24" i="3"/>
  <c r="E24" i="3"/>
  <c r="D24" i="3"/>
  <c r="K23" i="3"/>
  <c r="J23" i="3"/>
  <c r="I23" i="3"/>
  <c r="H23" i="3"/>
  <c r="G23" i="3"/>
  <c r="F23" i="3"/>
  <c r="E23" i="3"/>
  <c r="D23" i="3"/>
  <c r="K22" i="3"/>
  <c r="J22" i="3"/>
  <c r="I22" i="3"/>
  <c r="H22" i="3"/>
  <c r="G22" i="3"/>
  <c r="F22" i="3"/>
  <c r="E22" i="3"/>
  <c r="D22" i="3"/>
  <c r="K21" i="3"/>
  <c r="J21" i="3"/>
  <c r="I21" i="3"/>
  <c r="H21" i="3"/>
  <c r="G21" i="3"/>
  <c r="F21" i="3"/>
  <c r="E21" i="3"/>
  <c r="D21" i="3"/>
  <c r="K20" i="3"/>
  <c r="J20" i="3"/>
  <c r="I20" i="3"/>
  <c r="H20" i="3"/>
  <c r="G20" i="3"/>
  <c r="F20" i="3"/>
  <c r="E20" i="3"/>
  <c r="D20" i="3"/>
  <c r="K19" i="3"/>
  <c r="J19" i="3"/>
  <c r="I19" i="3"/>
  <c r="H19" i="3"/>
  <c r="G19" i="3"/>
  <c r="F19" i="3"/>
  <c r="E19" i="3"/>
  <c r="D19" i="3"/>
  <c r="K18" i="3"/>
  <c r="J18" i="3"/>
  <c r="I18" i="3"/>
  <c r="H18" i="3"/>
  <c r="G18" i="3"/>
  <c r="F18" i="3"/>
  <c r="E18" i="3"/>
  <c r="D18" i="3"/>
  <c r="K17" i="3"/>
  <c r="J17" i="3"/>
  <c r="I17" i="3"/>
  <c r="H17" i="3"/>
  <c r="G17" i="3"/>
  <c r="F17" i="3"/>
  <c r="E17" i="3"/>
  <c r="D17" i="3"/>
  <c r="K16" i="3"/>
  <c r="J16" i="3"/>
  <c r="I16" i="3"/>
  <c r="H16" i="3"/>
  <c r="G16" i="3"/>
  <c r="F16" i="3"/>
  <c r="E16" i="3"/>
  <c r="D16" i="3"/>
  <c r="K15" i="3"/>
  <c r="J15" i="3"/>
  <c r="I15" i="3"/>
  <c r="H15" i="3"/>
  <c r="G15" i="3"/>
  <c r="F15" i="3"/>
  <c r="E15" i="3"/>
  <c r="D15" i="3"/>
  <c r="K14" i="3"/>
  <c r="J14" i="3"/>
  <c r="I14" i="3"/>
  <c r="H14" i="3"/>
  <c r="G14" i="3"/>
  <c r="F14" i="3"/>
  <c r="E14" i="3"/>
  <c r="K13" i="3"/>
  <c r="J13" i="3"/>
  <c r="I13" i="3"/>
  <c r="H13" i="3"/>
  <c r="G13" i="3"/>
  <c r="F13" i="3"/>
  <c r="E13" i="3"/>
  <c r="D13" i="3"/>
  <c r="K12" i="3"/>
  <c r="J12" i="3"/>
  <c r="I12" i="3"/>
  <c r="H12" i="3"/>
  <c r="G12" i="3"/>
  <c r="F12" i="3"/>
  <c r="E12" i="3"/>
  <c r="D12" i="3"/>
  <c r="C29" i="3"/>
  <c r="C28" i="3"/>
  <c r="C27" i="3"/>
  <c r="C26" i="3"/>
  <c r="C25" i="3"/>
  <c r="C24" i="3"/>
  <c r="C23" i="3"/>
  <c r="C22" i="3"/>
  <c r="C21" i="3"/>
  <c r="C20" i="3"/>
  <c r="C19" i="3"/>
  <c r="C18" i="3"/>
  <c r="C17" i="3"/>
  <c r="C16" i="3"/>
  <c r="C15" i="3"/>
  <c r="C14" i="3"/>
  <c r="C13" i="3"/>
  <c r="C12" i="3"/>
  <c r="K10" i="3"/>
  <c r="J10" i="3"/>
  <c r="I10" i="3"/>
  <c r="H10" i="3"/>
  <c r="G10" i="3"/>
  <c r="F10" i="3"/>
  <c r="E10" i="3"/>
  <c r="D10" i="3"/>
  <c r="K9" i="3"/>
  <c r="J9" i="3"/>
  <c r="I9" i="3"/>
  <c r="H9" i="3"/>
  <c r="G9" i="3"/>
  <c r="F9" i="3"/>
  <c r="E9" i="3"/>
  <c r="D9" i="3"/>
  <c r="C9" i="3"/>
  <c r="D6" i="3"/>
  <c r="C6" i="3"/>
</calcChain>
</file>

<file path=xl/sharedStrings.xml><?xml version="1.0" encoding="utf-8"?>
<sst xmlns="http://schemas.openxmlformats.org/spreadsheetml/2006/main" count="402" uniqueCount="28">
  <si>
    <t>interv_cvg_rate</t>
  </si>
  <si>
    <t>interv_target</t>
  </si>
  <si>
    <t>contact_rate_mean</t>
  </si>
  <si>
    <t>interv_start</t>
  </si>
  <si>
    <t>interv_efficacy</t>
  </si>
  <si>
    <t>imm_hum_baseline</t>
  </si>
  <si>
    <t>mn</t>
  </si>
  <si>
    <t>md</t>
  </si>
  <si>
    <t>qlo</t>
  </si>
  <si>
    <t>qhi</t>
  </si>
  <si>
    <t>n</t>
  </si>
  <si>
    <t>Vaccination scenario</t>
  </si>
  <si>
    <t>Vaccination lag</t>
  </si>
  <si>
    <t>Vaccine efficacy</t>
  </si>
  <si>
    <t>Final Cum. Incidence</t>
  </si>
  <si>
    <t>outcome</t>
  </si>
  <si>
    <t>priority_age_frailty</t>
  </si>
  <si>
    <t>Random</t>
  </si>
  <si>
    <t>Hospitalized</t>
  </si>
  <si>
    <t>Column Labels</t>
  </si>
  <si>
    <t>Count of mn</t>
  </si>
  <si>
    <t>Row Labels</t>
  </si>
  <si>
    <t>Average of mn</t>
  </si>
  <si>
    <t>Average of qlo</t>
  </si>
  <si>
    <t>Average of qhi</t>
  </si>
  <si>
    <t>MAKE SURE THE COUNT TABLE HAS ALL VALUES = 1</t>
  </si>
  <si>
    <t>THE 3 LAST TABLES (MEAN, QLO, QHI) MUST BE CONSISTENT!</t>
  </si>
  <si>
    <t>(All)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</si>
</sst>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0.0%"/>
  </numFmts>
  <fonts count="4" x14ac:knownFonts="1">
    <font>
      <sz val="12"/>
      <color theme="1"/>
      <name val="Calibri"/>
      <family val="2"/>
      <scheme val="minor"/>
    </font>
    <font>
      <u/>
      <sz val="12"/>
      <color theme="10"/>
      <name val="Calibri"/>
      <family val="2"/>
      <scheme val="minor"/>
    </font>
    <font>
      <u/>
      <sz val="12"/>
      <color theme="11"/>
      <name val="Calibri"/>
      <family val="2"/>
      <scheme val="minor"/>
    </font>
    <font>
      <b/>
      <sz val="20"/>
      <color rgb="FFFF0000"/>
      <name val="Calibri"/>
      <scheme val="minor"/>
    </font>
  </fonts>
  <fills count="5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/>
        <bgColor indexed="64"/>
      </patternFill>
    </fill>
  </fills>
  <borders count="1">
    <border>
      <left/>
      <right/>
      <top/>
      <bottom/>
      <diagonal/>
    </border>
  </borders>
  <cellStyleXfs count="17">
    <xf numFmtId="0" fontId="0" fillId="0" borderId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</cellStyleXfs>
  <cellXfs count="12">
    <xf numFmtId="0" fontId="0" fillId="0" borderId="0" xfId="0"/>
    <xf numFmtId="11" fontId="0" fillId="0" borderId="0" xfId="0" applyNumberFormat="1"/>
    <xf numFmtId="0" fontId="0" fillId="0" borderId="0" xfId="0" pivotButton="1"/>
    <xf numFmtId="0" fontId="0" fillId="0" borderId="0" xfId="0" applyNumberFormat="1"/>
    <xf numFmtId="0" fontId="0" fillId="0" borderId="0" xfId="0" applyAlignment="1">
      <alignment horizontal="left"/>
    </xf>
    <xf numFmtId="0" fontId="0" fillId="0" borderId="0" xfId="0" applyAlignment="1">
      <alignment horizontal="left" indent="1"/>
    </xf>
    <xf numFmtId="164" fontId="0" fillId="0" borderId="0" xfId="0" applyNumberFormat="1"/>
    <xf numFmtId="0" fontId="0" fillId="2" borderId="0" xfId="0" applyFill="1"/>
    <xf numFmtId="0" fontId="3" fillId="2" borderId="0" xfId="0" applyFont="1" applyFill="1"/>
    <xf numFmtId="0" fontId="0" fillId="3" borderId="0" xfId="0" applyFill="1"/>
    <xf numFmtId="0" fontId="0" fillId="4" borderId="0" xfId="0" applyFill="1"/>
    <xf numFmtId="0" fontId="0" fillId="4" borderId="0" xfId="0" applyFill="1" applyAlignment="1">
      <alignment horizontal="center"/>
    </xf>
  </cellXfs>
  <cellStyles count="17">
    <cellStyle name="Followed Hyperlink" xfId="2" builtinId="9" hidden="1"/>
    <cellStyle name="Followed Hyperlink" xfId="4" builtinId="9" hidden="1"/>
    <cellStyle name="Followed Hyperlink" xfId="6" builtinId="9" hidden="1"/>
    <cellStyle name="Followed Hyperlink" xfId="8" builtinId="9" hidden="1"/>
    <cellStyle name="Followed Hyperlink" xfId="10" builtinId="9" hidden="1"/>
    <cellStyle name="Followed Hyperlink" xfId="12" builtinId="9" hidden="1"/>
    <cellStyle name="Followed Hyperlink" xfId="14" builtinId="9" hidden="1"/>
    <cellStyle name="Followed Hyperlink" xfId="16" builtinId="9" hidden="1"/>
    <cellStyle name="Hyperlink" xfId="1" builtinId="8" hidden="1"/>
    <cellStyle name="Hyperlink" xfId="3" builtinId="8" hidden="1"/>
    <cellStyle name="Hyperlink" xfId="5" builtinId="8" hidden="1"/>
    <cellStyle name="Hyperlink" xfId="7" builtinId="8" hidden="1"/>
    <cellStyle name="Hyperlink" xfId="9" builtinId="8" hidden="1"/>
    <cellStyle name="Hyperlink" xfId="11" builtinId="8" hidden="1"/>
    <cellStyle name="Hyperlink" xfId="13" builtinId="8" hidden="1"/>
    <cellStyle name="Hyperlink" xfId="15" builtinId="8" hidden="1"/>
    <cellStyle name="Normal" xfId="0" builtinId="0"/>
  </cellStyles>
  <dxfs count="0"/>
  <tableStyles count="0" defaultTableStyle="TableStyleMedium9" defaultPivotStyle="PivotStyleMedium4"/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4" Type="http://schemas.openxmlformats.org/officeDocument/2006/relationships/pivotCacheDefinition" Target="pivotCache/pivotCacheDefinition1.xml"/><Relationship Id="rId5" Type="http://schemas.openxmlformats.org/officeDocument/2006/relationships/theme" Target="theme/theme1.xml"/><Relationship Id="rId6" Type="http://schemas.openxmlformats.org/officeDocument/2006/relationships/styles" Target="styles.xml"/><Relationship Id="rId7" Type="http://schemas.openxmlformats.org/officeDocument/2006/relationships/sharedStrings" Target="sharedStrings.xml"/><Relationship Id="rId8" Type="http://schemas.openxmlformats.org/officeDocument/2006/relationships/calcChain" Target="calcChain.xml"/><Relationship Id="rId9" Type="http://schemas.microsoft.com/office/2006/relationships/vbaProject" Target="vbaProject.bin"/><Relationship Id="rId1" Type="http://schemas.openxmlformats.org/officeDocument/2006/relationships/worksheet" Target="worksheets/sheet1.xml"/><Relationship Id="rId2" Type="http://schemas.openxmlformats.org/officeDocument/2006/relationships/worksheet" Target="worksheets/sheet2.xml"/></Relationships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edBy="David Champredon" refreshedDate="42777.391108449076" createdVersion="4" refreshedVersion="4" minRefreshableVersion="3" recordCount="121">
  <cacheSource type="worksheet">
    <worksheetSource ref="A1:P1048576" sheet="paste_table_1.csv_here"/>
  </cacheSource>
  <cacheFields count="16">
    <cacheField name="interv_cvg_rate" numFmtId="0">
      <sharedItems containsString="0" containsBlank="1" containsNumber="1" containsInteger="1" minValue="100" maxValue="1200" count="5">
        <n v="100"/>
        <n v="300"/>
        <n v="600"/>
        <n v="1200"/>
        <m/>
      </sharedItems>
    </cacheField>
    <cacheField name="interv_target" numFmtId="0">
      <sharedItems containsBlank="1" count="2">
        <s v="priority_age_frailty"/>
        <m/>
      </sharedItems>
    </cacheField>
    <cacheField name="contact_rate_mean" numFmtId="0">
      <sharedItems containsString="0" containsBlank="1" containsNumber="1" minValue="1" maxValue="1.8" count="3">
        <n v="1"/>
        <n v="1.8"/>
        <m/>
      </sharedItems>
    </cacheField>
    <cacheField name="interv_start" numFmtId="0">
      <sharedItems containsString="0" containsBlank="1" containsNumber="1" containsInteger="1" minValue="-28" maxValue="28" count="6">
        <n v="-28"/>
        <n v="-14"/>
        <n v="0"/>
        <n v="14"/>
        <n v="28"/>
        <m/>
      </sharedItems>
    </cacheField>
    <cacheField name="interv_efficacy" numFmtId="0">
      <sharedItems containsString="0" containsBlank="1" containsNumber="1" minValue="0.3" maxValue="0.9" count="4">
        <n v="0.3"/>
        <n v="0.6"/>
        <n v="0.9"/>
        <m/>
      </sharedItems>
    </cacheField>
    <cacheField name="imm_hum_baseline" numFmtId="0">
      <sharedItems containsString="0" containsBlank="1" containsNumber="1" minValue="1.0000000000000001E-5" maxValue="1.0000000000000001E-5"/>
    </cacheField>
    <cacheField name="mn" numFmtId="0">
      <sharedItems containsString="0" containsBlank="1" containsNumber="1" minValue="-0.105949427141974" maxValue="0.55690360893440305"/>
    </cacheField>
    <cacheField name="md" numFmtId="0">
      <sharedItems containsString="0" containsBlank="1" containsNumber="1" minValue="-4.3478260869565202E-2" maxValue="0.577380952380952"/>
    </cacheField>
    <cacheField name="qlo" numFmtId="0">
      <sharedItems containsString="0" containsBlank="1" containsNumber="1" minValue="-0.996428571428571" maxValue="0"/>
    </cacheField>
    <cacheField name="qhi" numFmtId="0">
      <sharedItems containsString="0" containsBlank="1" containsNumber="1" minValue="0" maxValue="1"/>
    </cacheField>
    <cacheField name="n" numFmtId="0">
      <sharedItems containsString="0" containsBlank="1" containsNumber="1" containsInteger="1" minValue="152" maxValue="188"/>
    </cacheField>
    <cacheField name="Vaccination scenario" numFmtId="0">
      <sharedItems containsBlank="1"/>
    </cacheField>
    <cacheField name="Vaccination lag" numFmtId="0">
      <sharedItems containsString="0" containsBlank="1" containsNumber="1" containsInteger="1" minValue="-4" maxValue="4"/>
    </cacheField>
    <cacheField name="Vaccine efficacy" numFmtId="0">
      <sharedItems containsString="0" containsBlank="1" containsNumber="1" minValue="0.3" maxValue="0.9"/>
    </cacheField>
    <cacheField name="Final Cum. Incidence" numFmtId="0">
      <sharedItems containsString="0" containsBlank="1" containsNumber="1" minValue="0.5" maxValue="0.7"/>
    </cacheField>
    <cacheField name="outcome" numFmtId="0">
      <sharedItems containsBlank="1" count="2">
        <s v="Hospitalized"/>
        <m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121">
  <r>
    <x v="0"/>
    <x v="0"/>
    <x v="0"/>
    <x v="0"/>
    <x v="0"/>
    <n v="1.0000000000000001E-5"/>
    <n v="-9.3932066423421806E-2"/>
    <n v="0"/>
    <n v="-0.93888888888888899"/>
    <n v="0.359134615384615"/>
    <n v="152"/>
    <s v="Random"/>
    <n v="-4"/>
    <n v="0.3"/>
    <n v="0.5"/>
    <x v="0"/>
  </r>
  <r>
    <x v="0"/>
    <x v="0"/>
    <x v="0"/>
    <x v="0"/>
    <x v="1"/>
    <n v="1.0000000000000001E-5"/>
    <n v="-8.31804549051047E-2"/>
    <n v="1.6464237516869099E-2"/>
    <n v="-0.996428571428571"/>
    <n v="0.4"/>
    <n v="152"/>
    <s v="Random"/>
    <n v="-4"/>
    <n v="0.6"/>
    <n v="0.5"/>
    <x v="0"/>
  </r>
  <r>
    <x v="0"/>
    <x v="0"/>
    <x v="0"/>
    <x v="0"/>
    <x v="2"/>
    <n v="1.0000000000000001E-5"/>
    <n v="1.7028115774231401E-2"/>
    <n v="8.4219858156028393E-2"/>
    <n v="-0.69666666666666699"/>
    <n v="0.47026515151515103"/>
    <n v="152"/>
    <s v="Random"/>
    <n v="-4"/>
    <n v="0.9"/>
    <n v="0.5"/>
    <x v="0"/>
  </r>
  <r>
    <x v="0"/>
    <x v="0"/>
    <x v="0"/>
    <x v="1"/>
    <x v="0"/>
    <n v="1.0000000000000001E-5"/>
    <n v="-3.4594093667375203E-2"/>
    <n v="1.1235955056179799E-2"/>
    <n v="-0.57291666666666696"/>
    <n v="0.3828125"/>
    <n v="176"/>
    <s v="Random"/>
    <n v="-2"/>
    <n v="0.3"/>
    <n v="0.5"/>
    <x v="0"/>
  </r>
  <r>
    <x v="0"/>
    <x v="0"/>
    <x v="0"/>
    <x v="1"/>
    <x v="1"/>
    <n v="1.0000000000000001E-5"/>
    <n v="-2.4519527849373699E-2"/>
    <n v="6.0975609756097598E-3"/>
    <n v="-0.439075630252101"/>
    <n v="0.40763888888888899"/>
    <n v="176"/>
    <s v="Random"/>
    <n v="-2"/>
    <n v="0.6"/>
    <n v="0.5"/>
    <x v="0"/>
  </r>
  <r>
    <x v="0"/>
    <x v="0"/>
    <x v="0"/>
    <x v="1"/>
    <x v="2"/>
    <n v="1.0000000000000001E-5"/>
    <n v="5.89210497310413E-2"/>
    <n v="5.7471264367816098E-2"/>
    <n v="-0.5"/>
    <n v="0.50403225806451601"/>
    <n v="176"/>
    <s v="Random"/>
    <n v="-2"/>
    <n v="0.9"/>
    <n v="0.5"/>
    <x v="0"/>
  </r>
  <r>
    <x v="0"/>
    <x v="0"/>
    <x v="0"/>
    <x v="2"/>
    <x v="0"/>
    <n v="1.0000000000000001E-5"/>
    <n v="-6.4473211613653103E-2"/>
    <n v="0"/>
    <n v="-0.58979838709677401"/>
    <n v="0.43021978021978002"/>
    <n v="160"/>
    <s v="Random"/>
    <n v="0"/>
    <n v="0.3"/>
    <n v="0.5"/>
    <x v="0"/>
  </r>
  <r>
    <x v="0"/>
    <x v="0"/>
    <x v="0"/>
    <x v="2"/>
    <x v="1"/>
    <n v="1.0000000000000001E-5"/>
    <n v="-4.0263355221317701E-2"/>
    <n v="0"/>
    <n v="-0.55255681818181801"/>
    <n v="0.46346153846153798"/>
    <n v="160"/>
    <s v="Random"/>
    <n v="0"/>
    <n v="0.6"/>
    <n v="0.5"/>
    <x v="0"/>
  </r>
  <r>
    <x v="0"/>
    <x v="0"/>
    <x v="0"/>
    <x v="2"/>
    <x v="2"/>
    <n v="1.0000000000000001E-5"/>
    <n v="-4.08815067888759E-2"/>
    <n v="0"/>
    <n v="-0.71607142857142903"/>
    <n v="0.44444444444444398"/>
    <n v="160"/>
    <s v="Random"/>
    <n v="0"/>
    <n v="0.9"/>
    <n v="0.5"/>
    <x v="0"/>
  </r>
  <r>
    <x v="0"/>
    <x v="0"/>
    <x v="0"/>
    <x v="3"/>
    <x v="0"/>
    <n v="1.0000000000000001E-5"/>
    <n v="-4.6409945494054097E-2"/>
    <n v="0"/>
    <n v="-0.42964285714285699"/>
    <n v="0.38482905982906002"/>
    <n v="160"/>
    <s v="Random"/>
    <n v="2"/>
    <n v="0.3"/>
    <n v="0.5"/>
    <x v="0"/>
  </r>
  <r>
    <x v="0"/>
    <x v="0"/>
    <x v="0"/>
    <x v="3"/>
    <x v="1"/>
    <n v="1.0000000000000001E-5"/>
    <n v="-4.0600354098216801E-2"/>
    <n v="0"/>
    <n v="-0.52732142857142905"/>
    <n v="0.417261904761905"/>
    <n v="160"/>
    <s v="Random"/>
    <n v="2"/>
    <n v="0.6"/>
    <n v="0.5"/>
    <x v="0"/>
  </r>
  <r>
    <x v="0"/>
    <x v="0"/>
    <x v="0"/>
    <x v="3"/>
    <x v="2"/>
    <n v="1.0000000000000001E-5"/>
    <n v="-1.6360035946906298E-2"/>
    <n v="2.2730207929743E-2"/>
    <n v="-0.55015957446808506"/>
    <n v="0.392572463768115"/>
    <n v="160"/>
    <s v="Random"/>
    <n v="2"/>
    <n v="0.9"/>
    <n v="0.5"/>
    <x v="0"/>
  </r>
  <r>
    <x v="0"/>
    <x v="0"/>
    <x v="0"/>
    <x v="4"/>
    <x v="0"/>
    <n v="1.0000000000000001E-5"/>
    <n v="-1.18468511048496E-2"/>
    <n v="0"/>
    <n v="-0.316"/>
    <n v="0.17870189171559001"/>
    <n v="160"/>
    <s v="Random"/>
    <n v="4"/>
    <n v="0.3"/>
    <n v="0.5"/>
    <x v="0"/>
  </r>
  <r>
    <x v="0"/>
    <x v="0"/>
    <x v="0"/>
    <x v="4"/>
    <x v="1"/>
    <n v="1.0000000000000001E-5"/>
    <n v="-7.7889491858115301E-3"/>
    <n v="0"/>
    <n v="-0.26051351351351398"/>
    <n v="0.17241641337385899"/>
    <n v="160"/>
    <s v="Random"/>
    <n v="4"/>
    <n v="0.6"/>
    <n v="0.5"/>
    <x v="0"/>
  </r>
  <r>
    <x v="0"/>
    <x v="0"/>
    <x v="0"/>
    <x v="4"/>
    <x v="2"/>
    <n v="1.0000000000000001E-5"/>
    <n v="-3.7816534749636902E-3"/>
    <n v="0"/>
    <n v="-0.25493366500829201"/>
    <n v="0.200344827586207"/>
    <n v="160"/>
    <s v="Random"/>
    <n v="4"/>
    <n v="0.9"/>
    <n v="0.5"/>
    <x v="0"/>
  </r>
  <r>
    <x v="0"/>
    <x v="0"/>
    <x v="1"/>
    <x v="0"/>
    <x v="0"/>
    <n v="1.0000000000000001E-5"/>
    <n v="-6.2898437962187401E-2"/>
    <n v="0"/>
    <n v="-0.83120300751879705"/>
    <n v="0.38461538461538503"/>
    <n v="184"/>
    <s v="Random"/>
    <n v="-4"/>
    <n v="0.3"/>
    <n v="0.7"/>
    <x v="0"/>
  </r>
  <r>
    <x v="0"/>
    <x v="0"/>
    <x v="1"/>
    <x v="0"/>
    <x v="1"/>
    <n v="1.0000000000000001E-5"/>
    <n v="-1.07588529893408E-2"/>
    <n v="1.68803418803419E-2"/>
    <n v="-0.55590277777777797"/>
    <n v="0.49807692307692297"/>
    <n v="184"/>
    <s v="Random"/>
    <n v="-4"/>
    <n v="0.6"/>
    <n v="0.7"/>
    <x v="0"/>
  </r>
  <r>
    <x v="0"/>
    <x v="0"/>
    <x v="1"/>
    <x v="0"/>
    <x v="2"/>
    <n v="1.0000000000000001E-5"/>
    <n v="1.1859484512124799E-2"/>
    <n v="3.1746031746031703E-2"/>
    <n v="-0.64473684210526305"/>
    <n v="0.5"/>
    <n v="184"/>
    <s v="Random"/>
    <n v="-4"/>
    <n v="0.9"/>
    <n v="0.7"/>
    <x v="0"/>
  </r>
  <r>
    <x v="0"/>
    <x v="0"/>
    <x v="1"/>
    <x v="1"/>
    <x v="0"/>
    <n v="1.0000000000000001E-5"/>
    <n v="-9.1393028196237694E-2"/>
    <n v="6.4935064935064896E-3"/>
    <n v="-0.66666666666666696"/>
    <n v="0.37618135376756101"/>
    <n v="188"/>
    <s v="Random"/>
    <n v="-2"/>
    <n v="0.3"/>
    <n v="0.7"/>
    <x v="0"/>
  </r>
  <r>
    <x v="0"/>
    <x v="0"/>
    <x v="1"/>
    <x v="1"/>
    <x v="1"/>
    <n v="1.0000000000000001E-5"/>
    <n v="-6.7552706868979295E-2"/>
    <n v="1.02040816326531E-2"/>
    <n v="-0.82604166666666701"/>
    <n v="0.39084782608695701"/>
    <n v="188"/>
    <s v="Random"/>
    <n v="-2"/>
    <n v="0.6"/>
    <n v="0.7"/>
    <x v="0"/>
  </r>
  <r>
    <x v="0"/>
    <x v="0"/>
    <x v="1"/>
    <x v="1"/>
    <x v="2"/>
    <n v="1.0000000000000001E-5"/>
    <n v="-6.0324820500164002E-2"/>
    <n v="0"/>
    <n v="-0.84880952380952401"/>
    <n v="0.42075892857142899"/>
    <n v="188"/>
    <s v="Random"/>
    <n v="-2"/>
    <n v="0.9"/>
    <n v="0.7"/>
    <x v="0"/>
  </r>
  <r>
    <x v="0"/>
    <x v="0"/>
    <x v="1"/>
    <x v="2"/>
    <x v="0"/>
    <n v="1.0000000000000001E-5"/>
    <n v="-0.102727800630131"/>
    <n v="-1.31601731601732E-2"/>
    <n v="-0.95"/>
    <n v="0.37833333333333302"/>
    <n v="188"/>
    <s v="Random"/>
    <n v="0"/>
    <n v="0.3"/>
    <n v="0.7"/>
    <x v="0"/>
  </r>
  <r>
    <x v="0"/>
    <x v="0"/>
    <x v="1"/>
    <x v="2"/>
    <x v="1"/>
    <n v="1.0000000000000001E-5"/>
    <n v="-3.9426917966140701E-2"/>
    <n v="3.00337457817773E-2"/>
    <n v="-0.64355263157894704"/>
    <n v="0.38176470588235301"/>
    <n v="188"/>
    <s v="Random"/>
    <n v="0"/>
    <n v="0.6"/>
    <n v="0.7"/>
    <x v="0"/>
  </r>
  <r>
    <x v="0"/>
    <x v="0"/>
    <x v="1"/>
    <x v="2"/>
    <x v="2"/>
    <n v="1.0000000000000001E-5"/>
    <n v="-8.1756588839696304E-2"/>
    <n v="0"/>
    <n v="-0.77277777777777801"/>
    <n v="0.410833333333333"/>
    <n v="188"/>
    <s v="Random"/>
    <n v="0"/>
    <n v="0.9"/>
    <n v="0.7"/>
    <x v="0"/>
  </r>
  <r>
    <x v="0"/>
    <x v="0"/>
    <x v="1"/>
    <x v="3"/>
    <x v="0"/>
    <n v="1.0000000000000001E-5"/>
    <n v="-3.2515847223888901E-2"/>
    <n v="0"/>
    <n v="-0.4"/>
    <n v="0.33333333333333298"/>
    <n v="188"/>
    <s v="Random"/>
    <n v="2"/>
    <n v="0.3"/>
    <n v="0.7"/>
    <x v="0"/>
  </r>
  <r>
    <x v="0"/>
    <x v="0"/>
    <x v="1"/>
    <x v="3"/>
    <x v="1"/>
    <n v="1.0000000000000001E-5"/>
    <n v="-6.0916299381815399E-2"/>
    <n v="9.4805895039539907E-3"/>
    <n v="-0.5"/>
    <n v="0.288333333333333"/>
    <n v="188"/>
    <s v="Random"/>
    <n v="2"/>
    <n v="0.6"/>
    <n v="0.7"/>
    <x v="0"/>
  </r>
  <r>
    <x v="0"/>
    <x v="0"/>
    <x v="1"/>
    <x v="3"/>
    <x v="2"/>
    <n v="1.0000000000000001E-5"/>
    <n v="-5.4791363674449901E-2"/>
    <n v="0"/>
    <n v="-0.48249999999999998"/>
    <n v="0.35303030303030303"/>
    <n v="188"/>
    <s v="Random"/>
    <n v="2"/>
    <n v="0.9"/>
    <n v="0.7"/>
    <x v="0"/>
  </r>
  <r>
    <x v="0"/>
    <x v="0"/>
    <x v="1"/>
    <x v="4"/>
    <x v="0"/>
    <n v="1.0000000000000001E-5"/>
    <n v="1.57094780443945E-3"/>
    <n v="0"/>
    <n v="0"/>
    <n v="0"/>
    <n v="188"/>
    <s v="Random"/>
    <n v="4"/>
    <n v="0.3"/>
    <n v="0.7"/>
    <x v="0"/>
  </r>
  <r>
    <x v="0"/>
    <x v="0"/>
    <x v="1"/>
    <x v="4"/>
    <x v="1"/>
    <n v="1.0000000000000001E-5"/>
    <n v="9.5195907012024896E-4"/>
    <n v="0"/>
    <n v="0"/>
    <n v="0"/>
    <n v="188"/>
    <s v="Random"/>
    <n v="4"/>
    <n v="0.6"/>
    <n v="0.7"/>
    <x v="0"/>
  </r>
  <r>
    <x v="0"/>
    <x v="0"/>
    <x v="1"/>
    <x v="4"/>
    <x v="2"/>
    <n v="1.0000000000000001E-5"/>
    <n v="-1.3749445133398701E-3"/>
    <n v="0"/>
    <n v="-7.64705882352942E-3"/>
    <n v="0"/>
    <n v="188"/>
    <s v="Random"/>
    <n v="4"/>
    <n v="0.9"/>
    <n v="0.7"/>
    <x v="0"/>
  </r>
  <r>
    <x v="1"/>
    <x v="0"/>
    <x v="0"/>
    <x v="0"/>
    <x v="0"/>
    <n v="1.0000000000000001E-5"/>
    <n v="-4.1866523374293099E-2"/>
    <n v="5.0505050505050501E-3"/>
    <n v="-0.70736842105263098"/>
    <n v="0.57555555555555504"/>
    <n v="152"/>
    <s v="Random"/>
    <n v="-4"/>
    <n v="0.3"/>
    <n v="0.5"/>
    <x v="0"/>
  </r>
  <r>
    <x v="1"/>
    <x v="0"/>
    <x v="0"/>
    <x v="0"/>
    <x v="1"/>
    <n v="1.0000000000000001E-5"/>
    <n v="-5.1688729746678401E-4"/>
    <n v="6.9047619047619094E-2"/>
    <n v="-0.47884615384615398"/>
    <n v="0.41999999999999899"/>
    <n v="152"/>
    <s v="Random"/>
    <n v="-4"/>
    <n v="0.6"/>
    <n v="0.5"/>
    <x v="0"/>
  </r>
  <r>
    <x v="1"/>
    <x v="0"/>
    <x v="0"/>
    <x v="0"/>
    <x v="2"/>
    <n v="1.0000000000000001E-5"/>
    <n v="0.14254111271560599"/>
    <n v="0.23779761904761901"/>
    <n v="-0.69666666666666699"/>
    <n v="0.76249999999999996"/>
    <n v="152"/>
    <s v="Random"/>
    <n v="-4"/>
    <n v="0.9"/>
    <n v="0.5"/>
    <x v="0"/>
  </r>
  <r>
    <x v="1"/>
    <x v="0"/>
    <x v="0"/>
    <x v="1"/>
    <x v="0"/>
    <n v="1.0000000000000001E-5"/>
    <n v="1.52697096308916E-2"/>
    <n v="2.38399318859089E-2"/>
    <n v="-0.58333333333333304"/>
    <n v="0.62820512820512797"/>
    <n v="176"/>
    <s v="Random"/>
    <n v="-2"/>
    <n v="0.3"/>
    <n v="0.5"/>
    <x v="0"/>
  </r>
  <r>
    <x v="1"/>
    <x v="0"/>
    <x v="0"/>
    <x v="1"/>
    <x v="1"/>
    <n v="1.0000000000000001E-5"/>
    <n v="0.108765844150645"/>
    <n v="9.9295774647887303E-2"/>
    <n v="-0.51136363636363602"/>
    <n v="1"/>
    <n v="176"/>
    <s v="Random"/>
    <n v="-2"/>
    <n v="0.6"/>
    <n v="0.5"/>
    <x v="0"/>
  </r>
  <r>
    <x v="1"/>
    <x v="0"/>
    <x v="0"/>
    <x v="1"/>
    <x v="2"/>
    <n v="1.0000000000000001E-5"/>
    <n v="0.17448555364516899"/>
    <n v="0.211017740429505"/>
    <n v="-0.452380952380952"/>
    <n v="1"/>
    <n v="176"/>
    <s v="Random"/>
    <n v="-2"/>
    <n v="0.9"/>
    <n v="0.5"/>
    <x v="0"/>
  </r>
  <r>
    <x v="1"/>
    <x v="0"/>
    <x v="0"/>
    <x v="2"/>
    <x v="0"/>
    <n v="1.0000000000000001E-5"/>
    <n v="-2.4945009057460901E-2"/>
    <n v="6.0975609756097598E-3"/>
    <n v="-0.57410714285714304"/>
    <n v="0.48554376657824799"/>
    <n v="160"/>
    <s v="Random"/>
    <n v="0"/>
    <n v="0.3"/>
    <n v="0.5"/>
    <x v="0"/>
  </r>
  <r>
    <x v="1"/>
    <x v="0"/>
    <x v="0"/>
    <x v="2"/>
    <x v="1"/>
    <n v="1.0000000000000001E-5"/>
    <n v="9.0480709471943996E-4"/>
    <n v="0"/>
    <n v="-0.57142857142857095"/>
    <n v="0.50277777777777699"/>
    <n v="160"/>
    <s v="Random"/>
    <n v="0"/>
    <n v="0.6"/>
    <n v="0.5"/>
    <x v="0"/>
  </r>
  <r>
    <x v="1"/>
    <x v="0"/>
    <x v="0"/>
    <x v="2"/>
    <x v="2"/>
    <n v="1.0000000000000001E-5"/>
    <n v="4.8346450563725697E-2"/>
    <n v="0.113026819923372"/>
    <n v="-0.57535714285714301"/>
    <n v="0.50192307692307603"/>
    <n v="160"/>
    <s v="Random"/>
    <n v="0"/>
    <n v="0.9"/>
    <n v="0.5"/>
    <x v="0"/>
  </r>
  <r>
    <x v="1"/>
    <x v="0"/>
    <x v="0"/>
    <x v="3"/>
    <x v="0"/>
    <n v="1.0000000000000001E-5"/>
    <n v="-2.6658184068502701E-2"/>
    <n v="8.3333333333333297E-3"/>
    <n v="-0.58281818181818201"/>
    <n v="0.40142857142857102"/>
    <n v="160"/>
    <s v="Random"/>
    <n v="2"/>
    <n v="0.3"/>
    <n v="0.5"/>
    <x v="0"/>
  </r>
  <r>
    <x v="1"/>
    <x v="0"/>
    <x v="0"/>
    <x v="3"/>
    <x v="1"/>
    <n v="1.0000000000000001E-5"/>
    <n v="-3.5856730348522797E-2"/>
    <n v="0"/>
    <n v="-0.57213930348258701"/>
    <n v="0.381135531135531"/>
    <n v="160"/>
    <s v="Random"/>
    <n v="2"/>
    <n v="0.6"/>
    <n v="0.5"/>
    <x v="0"/>
  </r>
  <r>
    <x v="1"/>
    <x v="0"/>
    <x v="0"/>
    <x v="3"/>
    <x v="2"/>
    <n v="1.0000000000000001E-5"/>
    <n v="2.4172033308151399E-2"/>
    <n v="7.5378787878787906E-2"/>
    <n v="-0.58250000000000002"/>
    <n v="0.44636015325670397"/>
    <n v="160"/>
    <s v="Random"/>
    <n v="2"/>
    <n v="0.9"/>
    <n v="0.5"/>
    <x v="0"/>
  </r>
  <r>
    <x v="1"/>
    <x v="0"/>
    <x v="0"/>
    <x v="4"/>
    <x v="0"/>
    <n v="1.0000000000000001E-5"/>
    <n v="-8.2042038316742193E-3"/>
    <n v="0"/>
    <n v="-0.16702898550724599"/>
    <n v="0.205197132616487"/>
    <n v="160"/>
    <s v="Random"/>
    <n v="4"/>
    <n v="0.3"/>
    <n v="0.5"/>
    <x v="0"/>
  </r>
  <r>
    <x v="1"/>
    <x v="0"/>
    <x v="0"/>
    <x v="4"/>
    <x v="1"/>
    <n v="1.0000000000000001E-5"/>
    <n v="-5.5041394375684996E-3"/>
    <n v="0"/>
    <n v="-0.27054195804195802"/>
    <n v="0.16666666666666699"/>
    <n v="160"/>
    <s v="Random"/>
    <n v="4"/>
    <n v="0.6"/>
    <n v="0.5"/>
    <x v="0"/>
  </r>
  <r>
    <x v="1"/>
    <x v="0"/>
    <x v="0"/>
    <x v="4"/>
    <x v="2"/>
    <n v="1.0000000000000001E-5"/>
    <n v="-4.1614667077664097E-3"/>
    <n v="0"/>
    <n v="-0.250462962962963"/>
    <n v="0.22287581699346401"/>
    <n v="160"/>
    <s v="Random"/>
    <n v="4"/>
    <n v="0.9"/>
    <n v="0.5"/>
    <x v="0"/>
  </r>
  <r>
    <x v="1"/>
    <x v="0"/>
    <x v="1"/>
    <x v="0"/>
    <x v="0"/>
    <n v="1.0000000000000001E-5"/>
    <n v="-7.0929138802978201E-2"/>
    <n v="0"/>
    <n v="-0.79785714285714304"/>
    <n v="0.40029629629629598"/>
    <n v="184"/>
    <s v="Random"/>
    <n v="-4"/>
    <n v="0.3"/>
    <n v="0.7"/>
    <x v="0"/>
  </r>
  <r>
    <x v="1"/>
    <x v="0"/>
    <x v="1"/>
    <x v="0"/>
    <x v="1"/>
    <n v="1.0000000000000001E-5"/>
    <n v="8.0392538684743303E-3"/>
    <n v="1.94247996228194E-2"/>
    <n v="-0.54722222222222205"/>
    <n v="0.43437500000000001"/>
    <n v="184"/>
    <s v="Random"/>
    <n v="-4"/>
    <n v="0.6"/>
    <n v="0.7"/>
    <x v="0"/>
  </r>
  <r>
    <x v="1"/>
    <x v="0"/>
    <x v="1"/>
    <x v="0"/>
    <x v="2"/>
    <n v="1.0000000000000001E-5"/>
    <n v="0.12429618991369"/>
    <n v="0.14680134680134699"/>
    <n v="-0.456666666666667"/>
    <n v="0.73295454545454497"/>
    <n v="184"/>
    <s v="Random"/>
    <n v="-4"/>
    <n v="0.9"/>
    <n v="0.7"/>
    <x v="0"/>
  </r>
  <r>
    <x v="1"/>
    <x v="0"/>
    <x v="1"/>
    <x v="1"/>
    <x v="0"/>
    <n v="1.0000000000000001E-5"/>
    <n v="-9.8443893346022396E-2"/>
    <n v="0"/>
    <n v="-0.69761904761904803"/>
    <n v="0.4325"/>
    <n v="188"/>
    <s v="Random"/>
    <n v="-2"/>
    <n v="0.3"/>
    <n v="0.7"/>
    <x v="0"/>
  </r>
  <r>
    <x v="1"/>
    <x v="0"/>
    <x v="1"/>
    <x v="1"/>
    <x v="1"/>
    <n v="1.0000000000000001E-5"/>
    <n v="-8.5700242280953104E-2"/>
    <n v="0"/>
    <n v="-0.65208333333333302"/>
    <n v="0.43166666666666698"/>
    <n v="188"/>
    <s v="Random"/>
    <n v="-2"/>
    <n v="0.6"/>
    <n v="0.7"/>
    <x v="0"/>
  </r>
  <r>
    <x v="1"/>
    <x v="0"/>
    <x v="1"/>
    <x v="1"/>
    <x v="2"/>
    <n v="1.0000000000000001E-5"/>
    <n v="4.6726328430729699E-2"/>
    <n v="0.102207977207977"/>
    <n v="-0.52631578947368396"/>
    <n v="0.48653846153846197"/>
    <n v="188"/>
    <s v="Random"/>
    <n v="-2"/>
    <n v="0.9"/>
    <n v="0.7"/>
    <x v="0"/>
  </r>
  <r>
    <x v="1"/>
    <x v="0"/>
    <x v="1"/>
    <x v="2"/>
    <x v="0"/>
    <n v="1.0000000000000001E-5"/>
    <n v="-0.105949427141974"/>
    <n v="-4.3478260869565202E-2"/>
    <n v="-0.93"/>
    <n v="0.328666666666667"/>
    <n v="188"/>
    <s v="Random"/>
    <n v="0"/>
    <n v="0.3"/>
    <n v="0.7"/>
    <x v="0"/>
  </r>
  <r>
    <x v="1"/>
    <x v="0"/>
    <x v="1"/>
    <x v="2"/>
    <x v="1"/>
    <n v="1.0000000000000001E-5"/>
    <n v="-8.9181952786902802E-2"/>
    <n v="-1.71714244312418E-2"/>
    <n v="-0.75"/>
    <n v="0.32719298245613998"/>
    <n v="188"/>
    <s v="Random"/>
    <n v="0"/>
    <n v="0.6"/>
    <n v="0.7"/>
    <x v="0"/>
  </r>
  <r>
    <x v="1"/>
    <x v="0"/>
    <x v="1"/>
    <x v="2"/>
    <x v="2"/>
    <n v="1.0000000000000001E-5"/>
    <n v="-6.5247712744052597E-2"/>
    <n v="3.9025318865410198E-2"/>
    <n v="-0.73750000000000004"/>
    <n v="0.322455197132617"/>
    <n v="188"/>
    <s v="Random"/>
    <n v="0"/>
    <n v="0.9"/>
    <n v="0.7"/>
    <x v="0"/>
  </r>
  <r>
    <x v="1"/>
    <x v="0"/>
    <x v="1"/>
    <x v="3"/>
    <x v="0"/>
    <n v="1.0000000000000001E-5"/>
    <n v="-5.4230473420577102E-2"/>
    <n v="-5.31914893617021E-3"/>
    <n v="-0.56499999999999995"/>
    <n v="0.257065217391304"/>
    <n v="188"/>
    <s v="Random"/>
    <n v="2"/>
    <n v="0.3"/>
    <n v="0.7"/>
    <x v="0"/>
  </r>
  <r>
    <x v="1"/>
    <x v="0"/>
    <x v="1"/>
    <x v="3"/>
    <x v="1"/>
    <n v="1.0000000000000001E-5"/>
    <n v="-5.48292546273874E-2"/>
    <n v="0"/>
    <n v="-0.51300000000000001"/>
    <n v="0.32435897435897498"/>
    <n v="188"/>
    <s v="Random"/>
    <n v="2"/>
    <n v="0.6"/>
    <n v="0.7"/>
    <x v="0"/>
  </r>
  <r>
    <x v="1"/>
    <x v="0"/>
    <x v="1"/>
    <x v="3"/>
    <x v="2"/>
    <n v="1.0000000000000001E-5"/>
    <n v="-2.69534775771329E-2"/>
    <n v="0"/>
    <n v="-0.485416666666667"/>
    <n v="0.39124999999999999"/>
    <n v="188"/>
    <s v="Random"/>
    <n v="2"/>
    <n v="0.9"/>
    <n v="0.7"/>
    <x v="0"/>
  </r>
  <r>
    <x v="1"/>
    <x v="0"/>
    <x v="1"/>
    <x v="4"/>
    <x v="0"/>
    <n v="1.0000000000000001E-5"/>
    <n v="1.99068145259336E-4"/>
    <n v="0"/>
    <n v="0"/>
    <n v="0"/>
    <n v="188"/>
    <s v="Random"/>
    <n v="4"/>
    <n v="0.3"/>
    <n v="0.7"/>
    <x v="0"/>
  </r>
  <r>
    <x v="1"/>
    <x v="0"/>
    <x v="1"/>
    <x v="4"/>
    <x v="1"/>
    <n v="1.0000000000000001E-5"/>
    <n v="5.8558729303284304E-4"/>
    <n v="0"/>
    <n v="-9.3925619834710795E-3"/>
    <n v="0"/>
    <n v="188"/>
    <s v="Random"/>
    <n v="4"/>
    <n v="0.6"/>
    <n v="0.7"/>
    <x v="0"/>
  </r>
  <r>
    <x v="1"/>
    <x v="0"/>
    <x v="1"/>
    <x v="4"/>
    <x v="2"/>
    <n v="1.0000000000000001E-5"/>
    <n v="2.0726908136746102E-3"/>
    <n v="0"/>
    <n v="-1.4146825396825401E-2"/>
    <n v="6.9148936170213404E-3"/>
    <n v="188"/>
    <s v="Random"/>
    <n v="4"/>
    <n v="0.9"/>
    <n v="0.7"/>
    <x v="0"/>
  </r>
  <r>
    <x v="2"/>
    <x v="0"/>
    <x v="0"/>
    <x v="0"/>
    <x v="0"/>
    <n v="1.0000000000000001E-5"/>
    <n v="5.0290337473794001E-2"/>
    <n v="6.7682088868529597E-2"/>
    <n v="-0.5"/>
    <n v="0.81666666666666299"/>
    <n v="152"/>
    <s v="Random"/>
    <n v="-4"/>
    <n v="0.3"/>
    <n v="0.5"/>
    <x v="0"/>
  </r>
  <r>
    <x v="2"/>
    <x v="0"/>
    <x v="0"/>
    <x v="0"/>
    <x v="1"/>
    <n v="1.0000000000000001E-5"/>
    <n v="0.202546987113116"/>
    <n v="0.201010101010101"/>
    <n v="-0.52884615384615397"/>
    <n v="1"/>
    <n v="152"/>
    <s v="Random"/>
    <n v="-4"/>
    <n v="0.6"/>
    <n v="0.5"/>
    <x v="0"/>
  </r>
  <r>
    <x v="2"/>
    <x v="0"/>
    <x v="0"/>
    <x v="0"/>
    <x v="2"/>
    <n v="1.0000000000000001E-5"/>
    <n v="0.45092438915279898"/>
    <n v="0.42705167173252301"/>
    <n v="-6.9856459330143506E-2"/>
    <n v="1"/>
    <n v="152"/>
    <s v="Random"/>
    <n v="-4"/>
    <n v="0.9"/>
    <n v="0.5"/>
    <x v="0"/>
  </r>
  <r>
    <x v="2"/>
    <x v="0"/>
    <x v="0"/>
    <x v="1"/>
    <x v="0"/>
    <n v="1.0000000000000001E-5"/>
    <n v="3.4993435217366702E-3"/>
    <n v="3.6774628879892003E-2"/>
    <n v="-0.58482142857142905"/>
    <n v="0.47115384615384598"/>
    <n v="176"/>
    <s v="Random"/>
    <n v="-2"/>
    <n v="0.3"/>
    <n v="0.5"/>
    <x v="0"/>
  </r>
  <r>
    <x v="2"/>
    <x v="0"/>
    <x v="0"/>
    <x v="1"/>
    <x v="1"/>
    <n v="1.0000000000000001E-5"/>
    <n v="0.10872319134478001"/>
    <n v="0.12701612903225801"/>
    <n v="-0.38095238095238099"/>
    <n v="0.59134615384615397"/>
    <n v="176"/>
    <s v="Random"/>
    <n v="-2"/>
    <n v="0.6"/>
    <n v="0.5"/>
    <x v="0"/>
  </r>
  <r>
    <x v="2"/>
    <x v="0"/>
    <x v="0"/>
    <x v="1"/>
    <x v="2"/>
    <n v="1.0000000000000001E-5"/>
    <n v="0.38126482882365897"/>
    <n v="0.35982142857142901"/>
    <n v="-0.247899159663866"/>
    <n v="1"/>
    <n v="176"/>
    <s v="Random"/>
    <n v="-2"/>
    <n v="0.9"/>
    <n v="0.5"/>
    <x v="0"/>
  </r>
  <r>
    <x v="2"/>
    <x v="0"/>
    <x v="0"/>
    <x v="2"/>
    <x v="0"/>
    <n v="1.0000000000000001E-5"/>
    <n v="-3.3789905139808701E-2"/>
    <n v="1.53991945036721E-2"/>
    <n v="-0.61350806451612905"/>
    <n v="0.60055555555555495"/>
    <n v="160"/>
    <s v="Random"/>
    <n v="0"/>
    <n v="0.3"/>
    <n v="0.5"/>
    <x v="0"/>
  </r>
  <r>
    <x v="2"/>
    <x v="0"/>
    <x v="0"/>
    <x v="2"/>
    <x v="1"/>
    <n v="1.0000000000000001E-5"/>
    <n v="3.5790496377392498E-3"/>
    <n v="4.11036036036036E-2"/>
    <n v="-0.58387096774193603"/>
    <n v="0.44529914529914499"/>
    <n v="160"/>
    <s v="Random"/>
    <n v="0"/>
    <n v="0.6"/>
    <n v="0.5"/>
    <x v="0"/>
  </r>
  <r>
    <x v="2"/>
    <x v="0"/>
    <x v="0"/>
    <x v="2"/>
    <x v="2"/>
    <n v="1.0000000000000001E-5"/>
    <n v="0.14388696420355801"/>
    <n v="0.16542288557213899"/>
    <n v="-0.33541666666666697"/>
    <n v="0.55634920634920604"/>
    <n v="160"/>
    <s v="Random"/>
    <n v="0"/>
    <n v="0.9"/>
    <n v="0.5"/>
    <x v="0"/>
  </r>
  <r>
    <x v="2"/>
    <x v="0"/>
    <x v="0"/>
    <x v="3"/>
    <x v="0"/>
    <n v="1.0000000000000001E-5"/>
    <n v="-6.5493756808049197E-2"/>
    <n v="-2.3392612859097099E-2"/>
    <n v="-0.67696428571428602"/>
    <n v="0.46346153846153798"/>
    <n v="160"/>
    <s v="Random"/>
    <n v="2"/>
    <n v="0.3"/>
    <n v="0.5"/>
    <x v="0"/>
  </r>
  <r>
    <x v="2"/>
    <x v="0"/>
    <x v="0"/>
    <x v="3"/>
    <x v="1"/>
    <n v="1.0000000000000001E-5"/>
    <n v="-3.7074716907358203E-2"/>
    <n v="2.2224966045190801E-2"/>
    <n v="-0.55634920634920604"/>
    <n v="0.42936507936507901"/>
    <n v="160"/>
    <s v="Random"/>
    <n v="2"/>
    <n v="0.6"/>
    <n v="0.5"/>
    <x v="0"/>
  </r>
  <r>
    <x v="2"/>
    <x v="0"/>
    <x v="0"/>
    <x v="3"/>
    <x v="2"/>
    <n v="1.0000000000000001E-5"/>
    <n v="5.5584170120127001E-2"/>
    <n v="0.102631578947368"/>
    <n v="-0.54953917050691203"/>
    <n v="0.50192307692307603"/>
    <n v="160"/>
    <s v="Random"/>
    <n v="2"/>
    <n v="0.9"/>
    <n v="0.5"/>
    <x v="0"/>
  </r>
  <r>
    <x v="2"/>
    <x v="0"/>
    <x v="0"/>
    <x v="4"/>
    <x v="0"/>
    <n v="1.0000000000000001E-5"/>
    <n v="-1.2918745913095299E-3"/>
    <n v="0"/>
    <n v="-0.20809018567639301"/>
    <n v="0.149822695035461"/>
    <n v="160"/>
    <s v="Random"/>
    <n v="4"/>
    <n v="0.3"/>
    <n v="0.5"/>
    <x v="0"/>
  </r>
  <r>
    <x v="2"/>
    <x v="0"/>
    <x v="0"/>
    <x v="4"/>
    <x v="1"/>
    <n v="1.0000000000000001E-5"/>
    <n v="-1.2917578159094599E-2"/>
    <n v="0"/>
    <n v="-0.22587976539589399"/>
    <n v="0.18548474945533799"/>
    <n v="160"/>
    <s v="Random"/>
    <n v="4"/>
    <n v="0.6"/>
    <n v="0.5"/>
    <x v="0"/>
  </r>
  <r>
    <x v="2"/>
    <x v="0"/>
    <x v="0"/>
    <x v="4"/>
    <x v="2"/>
    <n v="1.0000000000000001E-5"/>
    <n v="1.3111224108135301E-2"/>
    <n v="0"/>
    <n v="-0.25"/>
    <n v="0.20831643002028299"/>
    <n v="160"/>
    <s v="Random"/>
    <n v="4"/>
    <n v="0.9"/>
    <n v="0.5"/>
    <x v="0"/>
  </r>
  <r>
    <x v="2"/>
    <x v="0"/>
    <x v="1"/>
    <x v="0"/>
    <x v="0"/>
    <n v="1.0000000000000001E-5"/>
    <n v="-5.7730974414074702E-2"/>
    <n v="-8.9031339031338998E-3"/>
    <n v="-0.66666666666666696"/>
    <n v="0.36551282051282002"/>
    <n v="184"/>
    <s v="Random"/>
    <n v="-4"/>
    <n v="0.3"/>
    <n v="0.7"/>
    <x v="0"/>
  </r>
  <r>
    <x v="2"/>
    <x v="0"/>
    <x v="1"/>
    <x v="0"/>
    <x v="1"/>
    <n v="1.0000000000000001E-5"/>
    <n v="1.9417547699603601E-2"/>
    <n v="5.4767239233258699E-2"/>
    <n v="-0.55555555555555602"/>
    <n v="0.5"/>
    <n v="184"/>
    <s v="Random"/>
    <n v="-4"/>
    <n v="0.6"/>
    <n v="0.7"/>
    <x v="0"/>
  </r>
  <r>
    <x v="2"/>
    <x v="0"/>
    <x v="1"/>
    <x v="0"/>
    <x v="2"/>
    <n v="1.0000000000000001E-5"/>
    <n v="0.25811837340021798"/>
    <n v="0.29166666666666702"/>
    <n v="-0.330701754385965"/>
    <n v="0.76923076923076905"/>
    <n v="184"/>
    <s v="Random"/>
    <n v="-4"/>
    <n v="0.9"/>
    <n v="0.7"/>
    <x v="0"/>
  </r>
  <r>
    <x v="2"/>
    <x v="0"/>
    <x v="1"/>
    <x v="1"/>
    <x v="0"/>
    <n v="1.0000000000000001E-5"/>
    <n v="-6.3910667764940907E-2"/>
    <n v="0"/>
    <n v="-0.78249999999999997"/>
    <n v="0.46487179487179497"/>
    <n v="188"/>
    <s v="Random"/>
    <n v="-2"/>
    <n v="0.3"/>
    <n v="0.7"/>
    <x v="0"/>
  </r>
  <r>
    <x v="2"/>
    <x v="0"/>
    <x v="1"/>
    <x v="1"/>
    <x v="1"/>
    <n v="1.0000000000000001E-5"/>
    <n v="-3.0479157551881599E-2"/>
    <n v="4.0028464685998903E-2"/>
    <n v="-0.66666666666666696"/>
    <n v="0.46153846153846201"/>
    <n v="188"/>
    <s v="Random"/>
    <n v="-2"/>
    <n v="0.6"/>
    <n v="0.7"/>
    <x v="0"/>
  </r>
  <r>
    <x v="2"/>
    <x v="0"/>
    <x v="1"/>
    <x v="1"/>
    <x v="2"/>
    <n v="1.0000000000000001E-5"/>
    <n v="0.19168072429969801"/>
    <n v="0.207111436950147"/>
    <n v="-0.46539473684210497"/>
    <n v="1"/>
    <n v="188"/>
    <s v="Random"/>
    <n v="-2"/>
    <n v="0.9"/>
    <n v="0.7"/>
    <x v="0"/>
  </r>
  <r>
    <x v="2"/>
    <x v="0"/>
    <x v="1"/>
    <x v="2"/>
    <x v="0"/>
    <n v="1.0000000000000001E-5"/>
    <n v="-8.5609787395261594E-2"/>
    <n v="-2.91371994342291E-2"/>
    <n v="-0.62052631578947404"/>
    <n v="0.4"/>
    <n v="188"/>
    <s v="Random"/>
    <n v="0"/>
    <n v="0.3"/>
    <n v="0.7"/>
    <x v="0"/>
  </r>
  <r>
    <x v="2"/>
    <x v="0"/>
    <x v="1"/>
    <x v="2"/>
    <x v="1"/>
    <n v="1.0000000000000001E-5"/>
    <n v="-8.8976739424269993E-2"/>
    <n v="0"/>
    <n v="-0.88333333333333297"/>
    <n v="0.39461538461538498"/>
    <n v="188"/>
    <s v="Random"/>
    <n v="0"/>
    <n v="0.6"/>
    <n v="0.7"/>
    <x v="0"/>
  </r>
  <r>
    <x v="2"/>
    <x v="0"/>
    <x v="1"/>
    <x v="2"/>
    <x v="2"/>
    <n v="1.0000000000000001E-5"/>
    <n v="2.18378868741823E-2"/>
    <n v="9.0230664857530493E-2"/>
    <n v="-0.66666666666666696"/>
    <n v="0.42034358047016301"/>
    <n v="188"/>
    <s v="Random"/>
    <n v="0"/>
    <n v="0.9"/>
    <n v="0.7"/>
    <x v="0"/>
  </r>
  <r>
    <x v="2"/>
    <x v="0"/>
    <x v="1"/>
    <x v="3"/>
    <x v="0"/>
    <n v="1.0000000000000001E-5"/>
    <n v="-7.1475004617996996E-2"/>
    <n v="0"/>
    <n v="-0.58250000000000002"/>
    <n v="0.27476489028213202"/>
    <n v="188"/>
    <s v="Random"/>
    <n v="2"/>
    <n v="0.3"/>
    <n v="0.7"/>
    <x v="0"/>
  </r>
  <r>
    <x v="2"/>
    <x v="0"/>
    <x v="1"/>
    <x v="3"/>
    <x v="1"/>
    <n v="1.0000000000000001E-5"/>
    <n v="-6.6595224613583998E-2"/>
    <n v="0"/>
    <n v="-0.64333333333333298"/>
    <n v="0.31274509803921602"/>
    <n v="188"/>
    <s v="Random"/>
    <n v="2"/>
    <n v="0.6"/>
    <n v="0.7"/>
    <x v="0"/>
  </r>
  <r>
    <x v="2"/>
    <x v="0"/>
    <x v="1"/>
    <x v="3"/>
    <x v="2"/>
    <n v="1.0000000000000001E-5"/>
    <n v="-2.3710862761744299E-2"/>
    <n v="3.0023959269242301E-2"/>
    <n v="-0.62250000000000005"/>
    <n v="0.39461538461538498"/>
    <n v="188"/>
    <s v="Random"/>
    <n v="2"/>
    <n v="0.9"/>
    <n v="0.7"/>
    <x v="0"/>
  </r>
  <r>
    <x v="2"/>
    <x v="0"/>
    <x v="1"/>
    <x v="4"/>
    <x v="0"/>
    <n v="1.0000000000000001E-5"/>
    <n v="2.8040155086503501E-3"/>
    <n v="0"/>
    <n v="0"/>
    <n v="5.2419354838710098E-3"/>
    <n v="188"/>
    <s v="Random"/>
    <n v="4"/>
    <n v="0.3"/>
    <n v="0.7"/>
    <x v="0"/>
  </r>
  <r>
    <x v="2"/>
    <x v="0"/>
    <x v="1"/>
    <x v="4"/>
    <x v="1"/>
    <n v="1.0000000000000001E-5"/>
    <n v="1.8515433355488101E-3"/>
    <n v="0"/>
    <n v="0"/>
    <n v="1.6300898995240599E-2"/>
    <n v="188"/>
    <s v="Random"/>
    <n v="4"/>
    <n v="0.6"/>
    <n v="0.7"/>
    <x v="0"/>
  </r>
  <r>
    <x v="2"/>
    <x v="0"/>
    <x v="1"/>
    <x v="4"/>
    <x v="2"/>
    <n v="1.0000000000000001E-5"/>
    <n v="1.7549681486422599E-3"/>
    <n v="0"/>
    <n v="-9.8560700876095097E-3"/>
    <n v="1.4015444015444E-2"/>
    <n v="188"/>
    <s v="Random"/>
    <n v="4"/>
    <n v="0.9"/>
    <n v="0.7"/>
    <x v="0"/>
  </r>
  <r>
    <x v="3"/>
    <x v="0"/>
    <x v="0"/>
    <x v="0"/>
    <x v="0"/>
    <n v="1.0000000000000001E-5"/>
    <n v="3.0696978789060601E-2"/>
    <n v="8.5144927536231901E-2"/>
    <n v="-0.92142857142857104"/>
    <n v="0.84999999999999698"/>
    <n v="152"/>
    <s v="Random"/>
    <n v="-4"/>
    <n v="0.3"/>
    <n v="0.5"/>
    <x v="0"/>
  </r>
  <r>
    <x v="3"/>
    <x v="0"/>
    <x v="0"/>
    <x v="0"/>
    <x v="1"/>
    <n v="1.0000000000000001E-5"/>
    <n v="0.32695552284195201"/>
    <n v="0.27636363636363598"/>
    <n v="-0.195769230769231"/>
    <n v="1"/>
    <n v="152"/>
    <s v="Random"/>
    <n v="-4"/>
    <n v="0.6"/>
    <n v="0.5"/>
    <x v="0"/>
  </r>
  <r>
    <x v="3"/>
    <x v="0"/>
    <x v="0"/>
    <x v="0"/>
    <x v="2"/>
    <n v="1.0000000000000001E-5"/>
    <n v="0.55690360893440305"/>
    <n v="0.577380952380952"/>
    <n v="0"/>
    <n v="1"/>
    <n v="152"/>
    <s v="Random"/>
    <n v="-4"/>
    <n v="0.9"/>
    <n v="0.5"/>
    <x v="0"/>
  </r>
  <r>
    <x v="3"/>
    <x v="0"/>
    <x v="0"/>
    <x v="1"/>
    <x v="0"/>
    <n v="1.0000000000000001E-5"/>
    <n v="0.109750579779263"/>
    <n v="0.12744124462098599"/>
    <n v="-0.37551020408163299"/>
    <n v="1"/>
    <n v="176"/>
    <s v="Random"/>
    <n v="-2"/>
    <n v="0.3"/>
    <n v="0.5"/>
    <x v="0"/>
  </r>
  <r>
    <x v="3"/>
    <x v="0"/>
    <x v="0"/>
    <x v="1"/>
    <x v="1"/>
    <n v="1.0000000000000001E-5"/>
    <n v="0.22869537007409599"/>
    <n v="0.280252583237658"/>
    <n v="-0.44642857142857101"/>
    <n v="1"/>
    <n v="176"/>
    <s v="Random"/>
    <n v="-2"/>
    <n v="0.6"/>
    <n v="0.5"/>
    <x v="0"/>
  </r>
  <r>
    <x v="3"/>
    <x v="0"/>
    <x v="0"/>
    <x v="1"/>
    <x v="2"/>
    <n v="1.0000000000000001E-5"/>
    <n v="0.52742004389995301"/>
    <n v="0.57142857142857095"/>
    <n v="-0.119047619047619"/>
    <n v="1"/>
    <n v="176"/>
    <s v="Random"/>
    <n v="-2"/>
    <n v="0.9"/>
    <n v="0.5"/>
    <x v="0"/>
  </r>
  <r>
    <x v="3"/>
    <x v="0"/>
    <x v="0"/>
    <x v="2"/>
    <x v="0"/>
    <n v="1.0000000000000001E-5"/>
    <n v="-2.6610716187359201E-2"/>
    <n v="0"/>
    <n v="-0.47613636363636402"/>
    <n v="0.44722222222222102"/>
    <n v="160"/>
    <s v="Random"/>
    <n v="0"/>
    <n v="0.3"/>
    <n v="0.5"/>
    <x v="0"/>
  </r>
  <r>
    <x v="3"/>
    <x v="0"/>
    <x v="0"/>
    <x v="2"/>
    <x v="1"/>
    <n v="1.0000000000000001E-5"/>
    <n v="0.108970289567119"/>
    <n v="0.123475609756098"/>
    <n v="-0.52903225806451604"/>
    <n v="0.78888888888888498"/>
    <n v="160"/>
    <s v="Random"/>
    <n v="0"/>
    <n v="0.6"/>
    <n v="0.5"/>
    <x v="0"/>
  </r>
  <r>
    <x v="3"/>
    <x v="0"/>
    <x v="0"/>
    <x v="2"/>
    <x v="2"/>
    <n v="1.0000000000000001E-5"/>
    <n v="0.308900939513988"/>
    <n v="0.35160160160160198"/>
    <n v="-0.28721804511278198"/>
    <n v="0.77796934865900402"/>
    <n v="160"/>
    <s v="Random"/>
    <n v="0"/>
    <n v="0.9"/>
    <n v="0.5"/>
    <x v="0"/>
  </r>
  <r>
    <x v="3"/>
    <x v="0"/>
    <x v="0"/>
    <x v="3"/>
    <x v="0"/>
    <n v="1.0000000000000001E-5"/>
    <n v="-8.4794844116593299E-2"/>
    <n v="0"/>
    <n v="-0.79032258064516103"/>
    <n v="0.5"/>
    <n v="160"/>
    <s v="Random"/>
    <n v="2"/>
    <n v="0.3"/>
    <n v="0.5"/>
    <x v="0"/>
  </r>
  <r>
    <x v="3"/>
    <x v="0"/>
    <x v="0"/>
    <x v="3"/>
    <x v="1"/>
    <n v="1.0000000000000001E-5"/>
    <n v="2.2089910307716799E-3"/>
    <n v="9.7619047619047605E-2"/>
    <n v="-0.68437499999999996"/>
    <n v="0.44722222222222102"/>
    <n v="160"/>
    <s v="Random"/>
    <n v="2"/>
    <n v="0.6"/>
    <n v="0.5"/>
    <x v="0"/>
  </r>
  <r>
    <x v="3"/>
    <x v="0"/>
    <x v="0"/>
    <x v="3"/>
    <x v="2"/>
    <n v="1.0000000000000001E-5"/>
    <n v="0.11304317678492599"/>
    <n v="0.178628389154705"/>
    <n v="-0.45403225806451603"/>
    <n v="0.54545454545454497"/>
    <n v="160"/>
    <s v="Random"/>
    <n v="2"/>
    <n v="0.9"/>
    <n v="0.5"/>
    <x v="0"/>
  </r>
  <r>
    <x v="3"/>
    <x v="0"/>
    <x v="0"/>
    <x v="4"/>
    <x v="0"/>
    <n v="1.0000000000000001E-5"/>
    <n v="-4.8384876514260796E-3"/>
    <n v="0"/>
    <n v="-0.21745923913043499"/>
    <n v="0.17248875562218899"/>
    <n v="160"/>
    <s v="Random"/>
    <n v="4"/>
    <n v="0.3"/>
    <n v="0.5"/>
    <x v="0"/>
  </r>
  <r>
    <x v="3"/>
    <x v="0"/>
    <x v="0"/>
    <x v="4"/>
    <x v="1"/>
    <n v="1.0000000000000001E-5"/>
    <n v="4.9852661001907996E-3"/>
    <n v="0"/>
    <n v="-0.209536874451273"/>
    <n v="0.222385620915033"/>
    <n v="160"/>
    <s v="Random"/>
    <n v="4"/>
    <n v="0.6"/>
    <n v="0.5"/>
    <x v="0"/>
  </r>
  <r>
    <x v="3"/>
    <x v="0"/>
    <x v="0"/>
    <x v="4"/>
    <x v="2"/>
    <n v="1.0000000000000001E-5"/>
    <n v="1.7189952167996E-2"/>
    <n v="0"/>
    <n v="-0.17254050925925901"/>
    <n v="0.28966131907308301"/>
    <n v="160"/>
    <s v="Random"/>
    <n v="4"/>
    <n v="0.9"/>
    <n v="0.5"/>
    <x v="0"/>
  </r>
  <r>
    <x v="3"/>
    <x v="0"/>
    <x v="1"/>
    <x v="0"/>
    <x v="0"/>
    <n v="1.0000000000000001E-5"/>
    <n v="-6.0405277602169502E-2"/>
    <n v="0"/>
    <n v="-0.83333333333333304"/>
    <n v="0.45954907161803699"/>
    <n v="184"/>
    <s v="Random"/>
    <n v="-4"/>
    <n v="0.3"/>
    <n v="0.7"/>
    <x v="0"/>
  </r>
  <r>
    <x v="3"/>
    <x v="0"/>
    <x v="1"/>
    <x v="0"/>
    <x v="1"/>
    <n v="1.0000000000000001E-5"/>
    <n v="0.15716227804277799"/>
    <n v="0.188545150501672"/>
    <n v="-0.39"/>
    <n v="0.60879120879120896"/>
    <n v="184"/>
    <s v="Random"/>
    <n v="-4"/>
    <n v="0.6"/>
    <n v="0.7"/>
    <x v="0"/>
  </r>
  <r>
    <x v="3"/>
    <x v="0"/>
    <x v="1"/>
    <x v="0"/>
    <x v="2"/>
    <n v="1.0000000000000001E-5"/>
    <n v="0.45748470100555899"/>
    <n v="0.46727828746177402"/>
    <n v="0"/>
    <n v="1"/>
    <n v="184"/>
    <s v="Random"/>
    <n v="-4"/>
    <n v="0.9"/>
    <n v="0.7"/>
    <x v="0"/>
  </r>
  <r>
    <x v="3"/>
    <x v="0"/>
    <x v="1"/>
    <x v="1"/>
    <x v="0"/>
    <n v="1.0000000000000001E-5"/>
    <n v="-8.7799580859649201E-2"/>
    <n v="-2.1853546910755101E-2"/>
    <n v="-0.84880952380952401"/>
    <n v="0.45101010101010103"/>
    <n v="188"/>
    <s v="Random"/>
    <n v="-2"/>
    <n v="0.3"/>
    <n v="0.7"/>
    <x v="0"/>
  </r>
  <r>
    <x v="3"/>
    <x v="0"/>
    <x v="1"/>
    <x v="1"/>
    <x v="1"/>
    <n v="1.0000000000000001E-5"/>
    <n v="1.03115350573404E-2"/>
    <n v="0.112847222222222"/>
    <n v="-0.80812499999999998"/>
    <n v="0.44603594080338299"/>
    <n v="188"/>
    <s v="Random"/>
    <n v="-2"/>
    <n v="0.6"/>
    <n v="0.7"/>
    <x v="0"/>
  </r>
  <r>
    <x v="3"/>
    <x v="0"/>
    <x v="1"/>
    <x v="1"/>
    <x v="2"/>
    <n v="1.0000000000000001E-5"/>
    <n v="0.275683401191403"/>
    <n v="0.34583605131550299"/>
    <n v="-0.24027777777777801"/>
    <n v="0.65833333333333299"/>
    <n v="188"/>
    <s v="Random"/>
    <n v="-2"/>
    <n v="0.9"/>
    <n v="0.7"/>
    <x v="0"/>
  </r>
  <r>
    <x v="3"/>
    <x v="0"/>
    <x v="1"/>
    <x v="2"/>
    <x v="0"/>
    <n v="1.0000000000000001E-5"/>
    <n v="-8.9286693772977099E-2"/>
    <n v="-9.3478260869565202E-3"/>
    <n v="-0.62583333333333302"/>
    <n v="0.39461538461538498"/>
    <n v="188"/>
    <s v="Random"/>
    <n v="0"/>
    <n v="0.3"/>
    <n v="0.7"/>
    <x v="0"/>
  </r>
  <r>
    <x v="3"/>
    <x v="0"/>
    <x v="1"/>
    <x v="2"/>
    <x v="1"/>
    <n v="1.0000000000000001E-5"/>
    <n v="-3.9601091352705203E-2"/>
    <n v="9.7619047619047598E-3"/>
    <n v="-0.86519607843137303"/>
    <n v="0.40764705882352897"/>
    <n v="188"/>
    <s v="Random"/>
    <n v="0"/>
    <n v="0.6"/>
    <n v="0.7"/>
    <x v="0"/>
  </r>
  <r>
    <x v="3"/>
    <x v="0"/>
    <x v="1"/>
    <x v="2"/>
    <x v="2"/>
    <n v="1.0000000000000001E-5"/>
    <n v="0.14344053257040201"/>
    <n v="0.2"/>
    <n v="-0.46338235294117602"/>
    <n v="0.56233766233766203"/>
    <n v="188"/>
    <s v="Random"/>
    <n v="0"/>
    <n v="0.9"/>
    <n v="0.7"/>
    <x v="0"/>
  </r>
  <r>
    <x v="3"/>
    <x v="0"/>
    <x v="1"/>
    <x v="3"/>
    <x v="0"/>
    <n v="1.0000000000000001E-5"/>
    <n v="-4.0982107580098799E-2"/>
    <n v="1.4219443323920901E-2"/>
    <n v="-0.59"/>
    <n v="0.36727941176470602"/>
    <n v="188"/>
    <s v="Random"/>
    <n v="2"/>
    <n v="0.3"/>
    <n v="0.7"/>
    <x v="0"/>
  </r>
  <r>
    <x v="3"/>
    <x v="0"/>
    <x v="1"/>
    <x v="3"/>
    <x v="1"/>
    <n v="1.0000000000000001E-5"/>
    <n v="-5.0254851001894099E-2"/>
    <n v="0"/>
    <n v="-0.56499999999999995"/>
    <n v="0.359939759036145"/>
    <n v="188"/>
    <s v="Random"/>
    <n v="2"/>
    <n v="0.6"/>
    <n v="0.7"/>
    <x v="0"/>
  </r>
  <r>
    <x v="3"/>
    <x v="0"/>
    <x v="1"/>
    <x v="3"/>
    <x v="2"/>
    <n v="1.0000000000000001E-5"/>
    <n v="-5.6851438672802703E-3"/>
    <n v="4.2957227138643098E-2"/>
    <n v="-0.6"/>
    <n v="0.37636868920796701"/>
    <n v="188"/>
    <s v="Random"/>
    <n v="2"/>
    <n v="0.9"/>
    <n v="0.7"/>
    <x v="0"/>
  </r>
  <r>
    <x v="3"/>
    <x v="0"/>
    <x v="1"/>
    <x v="4"/>
    <x v="0"/>
    <n v="1.0000000000000001E-5"/>
    <n v="3.54158674838328E-3"/>
    <n v="0"/>
    <n v="-1.2250836607012899E-2"/>
    <n v="1.58906882591093E-2"/>
    <n v="188"/>
    <s v="Random"/>
    <n v="4"/>
    <n v="0.3"/>
    <n v="0.7"/>
    <x v="0"/>
  </r>
  <r>
    <x v="3"/>
    <x v="0"/>
    <x v="1"/>
    <x v="4"/>
    <x v="1"/>
    <n v="1.0000000000000001E-5"/>
    <n v="5.9775702896655E-5"/>
    <n v="0"/>
    <n v="0"/>
    <n v="1.1360153256705001E-2"/>
    <n v="188"/>
    <s v="Random"/>
    <n v="4"/>
    <n v="0.6"/>
    <n v="0.7"/>
    <x v="0"/>
  </r>
  <r>
    <x v="3"/>
    <x v="0"/>
    <x v="1"/>
    <x v="4"/>
    <x v="2"/>
    <n v="1.0000000000000001E-5"/>
    <n v="-6.4287553066869996E-4"/>
    <n v="0"/>
    <n v="-1.30507662835249E-2"/>
    <n v="8.76945376869088E-3"/>
    <n v="188"/>
    <s v="Random"/>
    <n v="4"/>
    <n v="0.9"/>
    <n v="0.7"/>
    <x v="0"/>
  </r>
  <r>
    <x v="4"/>
    <x v="1"/>
    <x v="2"/>
    <x v="5"/>
    <x v="3"/>
    <m/>
    <m/>
    <m/>
    <m/>
    <m/>
    <m/>
    <m/>
    <m/>
    <m/>
    <m/>
    <x v="1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name="PivotTable5" cacheId="1" applyNumberFormats="0" applyBorderFormats="0" applyFontFormats="0" applyPatternFormats="0" applyAlignmentFormats="0" applyWidthHeightFormats="1" dataCaption="Values" updatedVersion="4" minRefreshableVersion="3" useAutoFormatting="1" rowGrandTotals="0" colGrandTotals="0" itemPrintTitles="1" createdVersion="4" indent="0" outline="1" outlineData="1" gridDropZones="1" multipleFieldFilters="0">
  <location ref="A52:I60" firstHeaderRow="1" firstDataRow="3" firstDataCol="1" rowPageCount="2" colPageCount="1"/>
  <pivotFields count="16">
    <pivotField axis="axisCol" showAll="0">
      <items count="6">
        <item x="0"/>
        <item x="1"/>
        <item x="2"/>
        <item x="3"/>
        <item x="4"/>
        <item t="default"/>
      </items>
    </pivotField>
    <pivotField axis="axisRow" showAll="0">
      <items count="3">
        <item x="0"/>
        <item x="1"/>
        <item t="default"/>
      </items>
    </pivotField>
    <pivotField axis="axisCol" showAll="0" defaultSubtotal="0">
      <items count="3">
        <item x="0"/>
        <item x="1"/>
        <item x="2"/>
      </items>
    </pivotField>
    <pivotField axis="axisRow" showAll="0">
      <items count="7">
        <item x="0"/>
        <item x="1"/>
        <item x="2"/>
        <item x="3"/>
        <item x="4"/>
        <item x="5"/>
        <item t="default"/>
      </items>
    </pivotField>
    <pivotField axis="axisPage" multipleItemSelectionAllowed="1" showAll="0">
      <items count="5">
        <item h="1" x="0"/>
        <item h="1" x="1"/>
        <item x="2"/>
        <item h="1" x="3"/>
        <item t="default"/>
      </items>
    </pivotField>
    <pivotField showAll="0"/>
    <pivotField showAll="0"/>
    <pivotField showAll="0"/>
    <pivotField dataField="1" showAll="0"/>
    <pivotField showAll="0"/>
    <pivotField showAll="0"/>
    <pivotField showAll="0"/>
    <pivotField showAll="0"/>
    <pivotField showAll="0"/>
    <pivotField showAll="0"/>
    <pivotField axis="axisPage" showAll="0">
      <items count="3">
        <item x="0"/>
        <item x="1"/>
        <item t="default"/>
      </items>
    </pivotField>
  </pivotFields>
  <rowFields count="2">
    <field x="1"/>
    <field x="3"/>
  </rowFields>
  <rowItems count="6">
    <i>
      <x/>
    </i>
    <i r="1">
      <x/>
    </i>
    <i r="1">
      <x v="1"/>
    </i>
    <i r="1">
      <x v="2"/>
    </i>
    <i r="1">
      <x v="3"/>
    </i>
    <i r="1">
      <x v="4"/>
    </i>
  </rowItems>
  <colFields count="2">
    <field x="2"/>
    <field x="0"/>
  </colFields>
  <colItems count="8">
    <i>
      <x/>
      <x/>
    </i>
    <i r="1">
      <x v="1"/>
    </i>
    <i r="1">
      <x v="2"/>
    </i>
    <i r="1">
      <x v="3"/>
    </i>
    <i>
      <x v="1"/>
      <x/>
    </i>
    <i r="1">
      <x v="1"/>
    </i>
    <i r="1">
      <x v="2"/>
    </i>
    <i r="1">
      <x v="3"/>
    </i>
  </colItems>
  <pageFields count="2">
    <pageField fld="4" hier="-1"/>
    <pageField fld="15" hier="-1"/>
  </pageFields>
  <dataFields count="1">
    <dataField name="Average of qlo" fld="8" subtotal="average" baseField="0" baseItem="0"/>
  </dataFields>
  <pivotTableStyleInfo name="PivotStyleMedium4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pivotTables/pivotTable2.xml><?xml version="1.0" encoding="utf-8"?>
<pivotTableDefinition xmlns="http://schemas.openxmlformats.org/spreadsheetml/2006/main" name="PivotTable7" cacheId="1" applyNumberFormats="0" applyBorderFormats="0" applyFontFormats="0" applyPatternFormats="0" applyAlignmentFormats="0" applyWidthHeightFormats="1" dataCaption="Values" updatedVersion="4" minRefreshableVersion="3" useAutoFormatting="1" rowGrandTotals="0" colGrandTotals="0" itemPrintTitles="1" createdVersion="4" indent="0" outline="1" outlineData="1" gridDropZones="1" multipleFieldFilters="0">
  <location ref="A80:I88" firstHeaderRow="1" firstDataRow="3" firstDataCol="1" rowPageCount="1" colPageCount="1"/>
  <pivotFields count="16">
    <pivotField axis="axisCol" showAll="0">
      <items count="6">
        <item x="0"/>
        <item x="1"/>
        <item x="2"/>
        <item x="3"/>
        <item x="4"/>
        <item t="default"/>
      </items>
    </pivotField>
    <pivotField axis="axisRow" showAll="0">
      <items count="3">
        <item x="0"/>
        <item x="1"/>
        <item t="default"/>
      </items>
    </pivotField>
    <pivotField axis="axisCol" showAll="0" defaultSubtotal="0">
      <items count="3">
        <item x="0"/>
        <item x="1"/>
        <item x="2"/>
      </items>
    </pivotField>
    <pivotField axis="axisRow" showAll="0">
      <items count="7">
        <item x="0"/>
        <item x="1"/>
        <item x="2"/>
        <item x="3"/>
        <item x="4"/>
        <item x="5"/>
        <item t="default"/>
      </items>
    </pivotField>
    <pivotField axis="axisPage" multipleItemSelectionAllowed="1" showAll="0">
      <items count="5">
        <item h="1" x="0"/>
        <item h="1" x="1"/>
        <item x="2"/>
        <item h="1" x="3"/>
        <item t="default"/>
      </items>
    </pivotField>
    <pivotField showAll="0"/>
    <pivotField showAll="0"/>
    <pivotField showAll="0"/>
    <pivotField showAll="0"/>
    <pivotField dataField="1" showAll="0"/>
    <pivotField showAll="0"/>
    <pivotField showAll="0"/>
    <pivotField showAll="0"/>
    <pivotField showAll="0"/>
    <pivotField showAll="0"/>
    <pivotField showAll="0"/>
  </pivotFields>
  <rowFields count="2">
    <field x="1"/>
    <field x="3"/>
  </rowFields>
  <rowItems count="6">
    <i>
      <x/>
    </i>
    <i r="1">
      <x/>
    </i>
    <i r="1">
      <x v="1"/>
    </i>
    <i r="1">
      <x v="2"/>
    </i>
    <i r="1">
      <x v="3"/>
    </i>
    <i r="1">
      <x v="4"/>
    </i>
  </rowItems>
  <colFields count="2">
    <field x="2"/>
    <field x="0"/>
  </colFields>
  <colItems count="8">
    <i>
      <x/>
      <x/>
    </i>
    <i r="1">
      <x v="1"/>
    </i>
    <i r="1">
      <x v="2"/>
    </i>
    <i r="1">
      <x v="3"/>
    </i>
    <i>
      <x v="1"/>
      <x/>
    </i>
    <i r="1">
      <x v="1"/>
    </i>
    <i r="1">
      <x v="2"/>
    </i>
    <i r="1">
      <x v="3"/>
    </i>
  </colItems>
  <pageFields count="1">
    <pageField fld="4" hier="-1"/>
  </pageFields>
  <dataFields count="1">
    <dataField name="Average of qhi" fld="9" subtotal="average" baseField="0" baseItem="0"/>
  </dataFields>
  <pivotTableStyleInfo name="PivotStyleMedium4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pivotTables/pivotTable3.xml><?xml version="1.0" encoding="utf-8"?>
<pivotTableDefinition xmlns="http://schemas.openxmlformats.org/spreadsheetml/2006/main" name="PivotTable1" cacheId="1" applyNumberFormats="0" applyBorderFormats="0" applyFontFormats="0" applyPatternFormats="0" applyAlignmentFormats="0" applyWidthHeightFormats="1" dataCaption="Values" updatedVersion="4" minRefreshableVersion="3" useAutoFormatting="1" rowGrandTotals="0" colGrandTotals="0" itemPrintTitles="1" createdVersion="4" indent="0" outline="1" outlineData="1" gridDropZones="1" multipleFieldFilters="0">
  <location ref="A8:I16" firstHeaderRow="1" firstDataRow="3" firstDataCol="1" rowPageCount="1" colPageCount="1"/>
  <pivotFields count="16">
    <pivotField axis="axisCol" showAll="0">
      <items count="6">
        <item x="0"/>
        <item x="1"/>
        <item x="2"/>
        <item x="3"/>
        <item x="4"/>
        <item t="default"/>
      </items>
    </pivotField>
    <pivotField axis="axisRow" showAll="0">
      <items count="3">
        <item x="0"/>
        <item x="1"/>
        <item t="default"/>
      </items>
    </pivotField>
    <pivotField axis="axisCol" showAll="0" defaultSubtotal="0">
      <items count="3">
        <item x="0"/>
        <item x="1"/>
        <item x="2"/>
      </items>
    </pivotField>
    <pivotField axis="axisRow" showAll="0">
      <items count="7">
        <item x="0"/>
        <item x="1"/>
        <item x="2"/>
        <item x="3"/>
        <item x="4"/>
        <item x="5"/>
        <item t="default"/>
      </items>
    </pivotField>
    <pivotField axis="axisPage" multipleItemSelectionAllowed="1" showAll="0">
      <items count="5">
        <item h="1" x="0"/>
        <item h="1" x="1"/>
        <item x="2"/>
        <item h="1" x="3"/>
        <item t="default"/>
      </items>
    </pivotField>
    <pivotField showAll="0"/>
    <pivotField dataField="1"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>
      <items count="3">
        <item x="0"/>
        <item x="1"/>
        <item t="default"/>
      </items>
    </pivotField>
  </pivotFields>
  <rowFields count="2">
    <field x="1"/>
    <field x="3"/>
  </rowFields>
  <rowItems count="6">
    <i>
      <x/>
    </i>
    <i r="1">
      <x/>
    </i>
    <i r="1">
      <x v="1"/>
    </i>
    <i r="1">
      <x v="2"/>
    </i>
    <i r="1">
      <x v="3"/>
    </i>
    <i r="1">
      <x v="4"/>
    </i>
  </rowItems>
  <colFields count="2">
    <field x="2"/>
    <field x="0"/>
  </colFields>
  <colItems count="8">
    <i>
      <x/>
      <x/>
    </i>
    <i r="1">
      <x v="1"/>
    </i>
    <i r="1">
      <x v="2"/>
    </i>
    <i r="1">
      <x v="3"/>
    </i>
    <i>
      <x v="1"/>
      <x/>
    </i>
    <i r="1">
      <x v="1"/>
    </i>
    <i r="1">
      <x v="2"/>
    </i>
    <i r="1">
      <x v="3"/>
    </i>
  </colItems>
  <pageFields count="1">
    <pageField fld="4" hier="-1"/>
  </pageFields>
  <dataFields count="1">
    <dataField name="Count of mn" fld="6" subtotal="count" baseField="0" baseItem="0"/>
  </dataFields>
  <pivotTableStyleInfo name="PivotStyleMedium4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pivotTables/pivotTable4.xml><?xml version="1.0" encoding="utf-8"?>
<pivotTableDefinition xmlns="http://schemas.openxmlformats.org/spreadsheetml/2006/main" name="PivotTable3" cacheId="1" applyNumberFormats="0" applyBorderFormats="0" applyFontFormats="0" applyPatternFormats="0" applyAlignmentFormats="0" applyWidthHeightFormats="1" dataCaption="Values" updatedVersion="4" minRefreshableVersion="3" useAutoFormatting="1" rowGrandTotals="0" colGrandTotals="0" itemPrintTitles="1" createdVersion="4" indent="0" outline="1" outlineData="1" gridDropZones="1" multipleFieldFilters="0">
  <location ref="A27:I35" firstHeaderRow="1" firstDataRow="3" firstDataCol="1" rowPageCount="2" colPageCount="1"/>
  <pivotFields count="16">
    <pivotField axis="axisCol" showAll="0">
      <items count="6">
        <item x="0"/>
        <item x="1"/>
        <item x="2"/>
        <item x="3"/>
        <item x="4"/>
        <item t="default"/>
      </items>
    </pivotField>
    <pivotField axis="axisRow" showAll="0">
      <items count="3">
        <item x="0"/>
        <item x="1"/>
        <item t="default"/>
      </items>
    </pivotField>
    <pivotField axis="axisCol" showAll="0" defaultSubtotal="0">
      <items count="3">
        <item x="0"/>
        <item x="1"/>
        <item x="2"/>
      </items>
    </pivotField>
    <pivotField axis="axisRow" showAll="0">
      <items count="7">
        <item x="0"/>
        <item x="1"/>
        <item x="2"/>
        <item x="3"/>
        <item x="4"/>
        <item x="5"/>
        <item t="default"/>
      </items>
    </pivotField>
    <pivotField axis="axisPage" multipleItemSelectionAllowed="1" showAll="0">
      <items count="5">
        <item h="1" x="0"/>
        <item h="1" x="1"/>
        <item x="2"/>
        <item h="1" x="3"/>
        <item t="default"/>
      </items>
    </pivotField>
    <pivotField showAll="0"/>
    <pivotField dataField="1" showAll="0"/>
    <pivotField showAll="0"/>
    <pivotField showAll="0"/>
    <pivotField showAll="0"/>
    <pivotField showAll="0"/>
    <pivotField showAll="0"/>
    <pivotField showAll="0"/>
    <pivotField showAll="0"/>
    <pivotField showAll="0"/>
    <pivotField axis="axisPage" showAll="0">
      <items count="3">
        <item x="0"/>
        <item x="1"/>
        <item t="default"/>
      </items>
    </pivotField>
  </pivotFields>
  <rowFields count="2">
    <field x="1"/>
    <field x="3"/>
  </rowFields>
  <rowItems count="6">
    <i>
      <x/>
    </i>
    <i r="1">
      <x/>
    </i>
    <i r="1">
      <x v="1"/>
    </i>
    <i r="1">
      <x v="2"/>
    </i>
    <i r="1">
      <x v="3"/>
    </i>
    <i r="1">
      <x v="4"/>
    </i>
  </rowItems>
  <colFields count="2">
    <field x="2"/>
    <field x="0"/>
  </colFields>
  <colItems count="8">
    <i>
      <x/>
      <x/>
    </i>
    <i r="1">
      <x v="1"/>
    </i>
    <i r="1">
      <x v="2"/>
    </i>
    <i r="1">
      <x v="3"/>
    </i>
    <i>
      <x v="1"/>
      <x/>
    </i>
    <i r="1">
      <x v="1"/>
    </i>
    <i r="1">
      <x v="2"/>
    </i>
    <i r="1">
      <x v="3"/>
    </i>
  </colItems>
  <pageFields count="2">
    <pageField fld="4" hier="-1"/>
    <pageField fld="15" hier="-1"/>
  </pageFields>
  <dataFields count="1">
    <dataField name="Average of mn" fld="6" subtotal="average" baseField="0" baseItem="0" numFmtId="164"/>
  </dataFields>
  <pivotTableStyleInfo name="PivotStyleMedium4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tint val="100000"/>
                <a:shade val="100000"/>
                <a:satMod val="130000"/>
              </a:schemeClr>
            </a:gs>
            <a:gs pos="100000">
              <a:schemeClr val="phClr">
                <a:tint val="50000"/>
                <a:shade val="100000"/>
                <a:satMod val="350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/>
      <a:bodyPr/>
      <a:lstStyle/>
      <a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a:style>
    </a:spDef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</a:theme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pivotTable" Target="../pivotTables/pivotTable3.xml"/><Relationship Id="rId4" Type="http://schemas.openxmlformats.org/officeDocument/2006/relationships/pivotTable" Target="../pivotTables/pivotTable4.xml"/><Relationship Id="rId1" Type="http://schemas.openxmlformats.org/officeDocument/2006/relationships/pivotTable" Target="../pivotTables/pivotTable1.xml"/><Relationship Id="rId2" Type="http://schemas.openxmlformats.org/officeDocument/2006/relationships/pivotTable" Target="../pivotTables/pivotTable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 enableFormatConditionsCalculation="0"/>
  <dimension ref="C6:K41"/>
  <sheetViews>
    <sheetView tabSelected="1" workbookViewId="0">
      <selection activeCell="E25" sqref="E25"/>
    </sheetView>
  </sheetViews>
  <sheetFormatPr baseColWidth="10" defaultRowHeight="15" x14ac:dyDescent="0"/>
  <cols>
    <col min="1" max="3" width="10.83203125" style="9"/>
    <col min="4" max="11" width="26.33203125" style="9" customWidth="1"/>
    <col min="12" max="16384" width="10.83203125" style="9"/>
  </cols>
  <sheetData>
    <row r="6" spans="3:11">
      <c r="C6" s="10" t="str">
        <f>pivot!A25</f>
        <v>outcome</v>
      </c>
      <c r="D6" s="10" t="str">
        <f>pivot!B25</f>
        <v>(All)</v>
      </c>
      <c r="E6" s="10"/>
      <c r="F6" s="10"/>
      <c r="G6" s="10"/>
      <c r="H6" s="10"/>
      <c r="I6" s="10"/>
      <c r="J6" s="10"/>
      <c r="K6" s="10"/>
    </row>
    <row r="7" spans="3:11">
      <c r="C7" s="10"/>
      <c r="D7" s="10"/>
      <c r="E7" s="10"/>
      <c r="F7" s="10"/>
      <c r="G7" s="10"/>
      <c r="H7" s="10"/>
      <c r="I7" s="10"/>
      <c r="J7" s="10"/>
      <c r="K7" s="10"/>
    </row>
    <row r="8" spans="3:11">
      <c r="C8" s="10"/>
      <c r="D8" s="10"/>
      <c r="E8" s="10"/>
      <c r="F8" s="10"/>
      <c r="G8" s="10"/>
      <c r="H8" s="10"/>
      <c r="I8" s="10"/>
      <c r="J8" s="10"/>
      <c r="K8" s="10"/>
    </row>
    <row r="9" spans="3:11">
      <c r="C9" s="10">
        <f>pivot!A28</f>
        <v>0</v>
      </c>
      <c r="D9" s="10">
        <f>pivot!B28</f>
        <v>1</v>
      </c>
      <c r="E9" s="10">
        <f>pivot!C28</f>
        <v>0</v>
      </c>
      <c r="F9" s="10">
        <f>pivot!D28</f>
        <v>0</v>
      </c>
      <c r="G9" s="10">
        <f>pivot!E28</f>
        <v>0</v>
      </c>
      <c r="H9" s="10">
        <f>pivot!F28</f>
        <v>1.8</v>
      </c>
      <c r="I9" s="10">
        <f>pivot!G28</f>
        <v>0</v>
      </c>
      <c r="J9" s="10">
        <f>pivot!H28</f>
        <v>0</v>
      </c>
      <c r="K9" s="10">
        <f>pivot!I28</f>
        <v>0</v>
      </c>
    </row>
    <row r="10" spans="3:11">
      <c r="C10" s="10"/>
      <c r="D10" s="11">
        <f>pivot!B29</f>
        <v>100</v>
      </c>
      <c r="E10" s="11">
        <f>pivot!C29</f>
        <v>300</v>
      </c>
      <c r="F10" s="11">
        <f>pivot!D29</f>
        <v>600</v>
      </c>
      <c r="G10" s="11">
        <f>pivot!E29</f>
        <v>1200</v>
      </c>
      <c r="H10" s="11">
        <f>pivot!F29</f>
        <v>100</v>
      </c>
      <c r="I10" s="11">
        <f>pivot!G29</f>
        <v>300</v>
      </c>
      <c r="J10" s="11">
        <f>pivot!H29</f>
        <v>600</v>
      </c>
      <c r="K10" s="11">
        <f>pivot!I29</f>
        <v>1200</v>
      </c>
    </row>
    <row r="11" spans="3:11">
      <c r="C11" s="10"/>
      <c r="D11" s="11"/>
      <c r="E11" s="11"/>
      <c r="F11" s="11"/>
      <c r="G11" s="11"/>
      <c r="H11" s="11"/>
      <c r="I11" s="11"/>
      <c r="J11" s="11"/>
      <c r="K11" s="11"/>
    </row>
    <row r="12" spans="3:11">
      <c r="C12" s="10">
        <f>pivot!A31</f>
        <v>-28</v>
      </c>
      <c r="D12" s="11" t="str">
        <f>myFormat(pivot!B31,pivot!B57,pivot!B85)</f>
        <v>1.7% (-50% ; 50.4%)</v>
      </c>
      <c r="E12" s="11" t="str">
        <f>myFormat(pivot!C31,pivot!C57,pivot!C85)</f>
        <v>14.3% (-45.2% ; 100%)</v>
      </c>
      <c r="F12" s="11" t="str">
        <f>myFormat(pivot!D31,pivot!D57,pivot!D85)</f>
        <v>45.1% (-24.8% ; 100%)</v>
      </c>
      <c r="G12" s="11" t="str">
        <f>myFormat(pivot!E31,pivot!E57,pivot!E85)</f>
        <v>55.7% (-11.9% ; 100%)</v>
      </c>
      <c r="H12" s="11" t="str">
        <f>myFormat(pivot!F31,pivot!F57,pivot!F85)</f>
        <v>1.2% (-84.9% ; 42.1%)</v>
      </c>
      <c r="I12" s="11" t="str">
        <f>myFormat(pivot!G31,pivot!G57,pivot!G85)</f>
        <v>12.4% (-52.6% ; 48.7%)</v>
      </c>
      <c r="J12" s="11" t="str">
        <f>myFormat(pivot!H31,pivot!H57,pivot!H85)</f>
        <v>25.8% (-46.5% ; 100%)</v>
      </c>
      <c r="K12" s="11" t="str">
        <f>myFormat(pivot!I31,pivot!I57,pivot!I85)</f>
        <v>45.7% (-24% ; 65.8%)</v>
      </c>
    </row>
    <row r="13" spans="3:11">
      <c r="C13" s="10">
        <f>pivot!A32</f>
        <v>-14</v>
      </c>
      <c r="D13" s="11" t="str">
        <f>myFormat(pivot!B32,pivot!B58,pivot!B86)</f>
        <v>5.9% (-71.6% ; 44.4%)</v>
      </c>
      <c r="E13" s="11" t="str">
        <f>myFormat(pivot!C32,pivot!C58,pivot!C86)</f>
        <v>17.4% (-57.5% ; 50.2%)</v>
      </c>
      <c r="F13" s="11" t="str">
        <f>myFormat(pivot!D32,pivot!D58,pivot!D86)</f>
        <v>38.1% (-33.5% ; 55.6%)</v>
      </c>
      <c r="G13" s="11" t="str">
        <f>myFormat(pivot!E32,pivot!E58,pivot!E86)</f>
        <v>52.7% (-28.7% ; 77.8%)</v>
      </c>
      <c r="H13" s="11" t="str">
        <f>myFormat(pivot!F32,pivot!F58,pivot!F86)</f>
        <v>-6% (-77.3% ; 41.1%)</v>
      </c>
      <c r="I13" s="11" t="str">
        <f>myFormat(pivot!G32,pivot!G58,pivot!G86)</f>
        <v>4.7% (-73.8% ; 32.2%)</v>
      </c>
      <c r="J13" s="11" t="str">
        <f>myFormat(pivot!H32,pivot!H58,pivot!H86)</f>
        <v>19.2% (-66.7% ; 42%)</v>
      </c>
      <c r="K13" s="11" t="str">
        <f>myFormat(pivot!I32,pivot!I58,pivot!I86)</f>
        <v>27.6% (-46.3% ; 56.2%)</v>
      </c>
    </row>
    <row r="14" spans="3:11">
      <c r="C14" s="10">
        <f>pivot!A33</f>
        <v>0</v>
      </c>
      <c r="D14" s="11" t="str">
        <f>myFormat(pivot!B33,pivot!B59,pivot!B87)</f>
        <v>-4.1% (-55% ; 39.3%)</v>
      </c>
      <c r="E14" s="11" t="str">
        <f>myFormat(pivot!C33,pivot!C59,pivot!C87)</f>
        <v>4.8% (-58.2% ; 44.6%)</v>
      </c>
      <c r="F14" s="11" t="str">
        <f>myFormat(pivot!D33,pivot!D59,pivot!D87)</f>
        <v>14.4% (-55% ; 50.2%)</v>
      </c>
      <c r="G14" s="11" t="str">
        <f>myFormat(pivot!E33,pivot!E59,pivot!E87)</f>
        <v>30.9% (-45.4% ; 54.5%)</v>
      </c>
      <c r="H14" s="11" t="str">
        <f>myFormat(pivot!F33,pivot!F59,pivot!F87)</f>
        <v>-8.2% (-48.2% ; 35.3%)</v>
      </c>
      <c r="I14" s="11" t="str">
        <f>myFormat(pivot!G33,pivot!G59,pivot!G87)</f>
        <v>-6.5% (-48.5% ; 39.1%)</v>
      </c>
      <c r="J14" s="11" t="str">
        <f>myFormat(pivot!H33,pivot!H59,pivot!H87)</f>
        <v>2.2% (-62.3% ; 39.5%)</v>
      </c>
      <c r="K14" s="11" t="str">
        <f>myFormat(pivot!I33,pivot!I59,pivot!I87)</f>
        <v>14.3% (-60% ; 37.6%)</v>
      </c>
    </row>
    <row r="15" spans="3:11">
      <c r="C15" s="10">
        <f>pivot!A34</f>
        <v>14</v>
      </c>
      <c r="D15" s="11" t="str">
        <f>myFormat(pivot!B34,pivot!B60,pivot!B88)</f>
        <v>-1.6% (-25.5% ; 20%)</v>
      </c>
      <c r="E15" s="11" t="str">
        <f>myFormat(pivot!C34,pivot!C60,pivot!C88)</f>
        <v>2.4% (-25% ; 22.3%)</v>
      </c>
      <c r="F15" s="11" t="str">
        <f>myFormat(pivot!D34,pivot!D60,pivot!D88)</f>
        <v>5.6% (-25% ; 20.8%)</v>
      </c>
      <c r="G15" s="11" t="str">
        <f>myFormat(pivot!E34,pivot!E60,pivot!E88)</f>
        <v>11.3% (-17.3% ; 29%)</v>
      </c>
      <c r="H15" s="11" t="str">
        <f>myFormat(pivot!F34,pivot!F60,pivot!F88)</f>
        <v>-5.5% (-0.8% ; 0%)</v>
      </c>
      <c r="I15" s="11" t="str">
        <f>myFormat(pivot!G34,pivot!G60,pivot!G88)</f>
        <v>-2.7% (-1.4% ; 0.7%)</v>
      </c>
      <c r="J15" s="11" t="str">
        <f>myFormat(pivot!H34,pivot!H60,pivot!H88)</f>
        <v>-2.4% (-1% ; 1.4%)</v>
      </c>
      <c r="K15" s="11" t="str">
        <f>myFormat(pivot!I34,pivot!I60,pivot!I88)</f>
        <v>-0.6% (-1.3% ; 0.9%)</v>
      </c>
    </row>
    <row r="16" spans="3:11">
      <c r="C16" s="10">
        <f>pivot!A35</f>
        <v>28</v>
      </c>
      <c r="D16" s="11" t="str">
        <f>myFormat(pivot!B35,pivot!B61,pivot!B89)</f>
        <v>-0.4% (0% ; 0%)</v>
      </c>
      <c r="E16" s="11" t="str">
        <f>myFormat(pivot!C35,pivot!C61,pivot!C89)</f>
        <v>-0.4% (0% ; 0%)</v>
      </c>
      <c r="F16" s="11" t="str">
        <f>myFormat(pivot!D35,pivot!D61,pivot!D89)</f>
        <v>1.3% (0% ; 0%)</v>
      </c>
      <c r="G16" s="11" t="str">
        <f>myFormat(pivot!E35,pivot!E61,pivot!E89)</f>
        <v>1.7% (0% ; 0%)</v>
      </c>
      <c r="H16" s="11" t="str">
        <f>myFormat(pivot!F35,pivot!F61,pivot!F89)</f>
        <v>-0.1% (0% ; 0%)</v>
      </c>
      <c r="I16" s="11" t="str">
        <f>myFormat(pivot!G35,pivot!G61,pivot!G89)</f>
        <v>0.2% (0% ; 0%)</v>
      </c>
      <c r="J16" s="11" t="str">
        <f>myFormat(pivot!H35,pivot!H61,pivot!H89)</f>
        <v>0.2% (0% ; 0%)</v>
      </c>
      <c r="K16" s="11" t="str">
        <f>myFormat(pivot!I35,pivot!I61,pivot!I89)</f>
        <v>-0.1% (0% ; 0%)</v>
      </c>
    </row>
    <row r="17" spans="3:11">
      <c r="C17" s="10">
        <f>pivot!A36</f>
        <v>0</v>
      </c>
      <c r="D17" s="11" t="str">
        <f>myFormat(pivot!B36,pivot!B62,pivot!B90)</f>
        <v>0% (0% ; 0%)</v>
      </c>
      <c r="E17" s="11" t="str">
        <f>myFormat(pivot!C36,pivot!C62,pivot!C90)</f>
        <v>0% (0% ; 0%)</v>
      </c>
      <c r="F17" s="11" t="str">
        <f>myFormat(pivot!D36,pivot!D62,pivot!D90)</f>
        <v>0% (0% ; 0%)</v>
      </c>
      <c r="G17" s="11" t="str">
        <f>myFormat(pivot!E36,pivot!E62,pivot!E90)</f>
        <v>0% (0% ; 0%)</v>
      </c>
      <c r="H17" s="11" t="str">
        <f>myFormat(pivot!F36,pivot!F62,pivot!F90)</f>
        <v>0% (0% ; 0%)</v>
      </c>
      <c r="I17" s="11" t="str">
        <f>myFormat(pivot!G36,pivot!G62,pivot!G90)</f>
        <v>0% (0% ; 0%)</v>
      </c>
      <c r="J17" s="11" t="str">
        <f>myFormat(pivot!H36,pivot!H62,pivot!H90)</f>
        <v>0% (0% ; 0%)</v>
      </c>
      <c r="K17" s="11" t="str">
        <f>myFormat(pivot!I36,pivot!I62,pivot!I90)</f>
        <v>0% (0% ; 0%)</v>
      </c>
    </row>
    <row r="18" spans="3:11">
      <c r="C18" s="10">
        <f>pivot!A37</f>
        <v>0</v>
      </c>
      <c r="D18" s="11" t="str">
        <f>myFormat(pivot!B37,pivot!B63,pivot!B91)</f>
        <v>0% (0% ; 0%)</v>
      </c>
      <c r="E18" s="11" t="str">
        <f>myFormat(pivot!C37,pivot!C63,pivot!C91)</f>
        <v>0% (0% ; 0%)</v>
      </c>
      <c r="F18" s="11" t="str">
        <f>myFormat(pivot!D37,pivot!D63,pivot!D91)</f>
        <v>0% (0% ; 0%)</v>
      </c>
      <c r="G18" s="11" t="str">
        <f>myFormat(pivot!E37,pivot!E63,pivot!E91)</f>
        <v>0% (0% ; 0%)</v>
      </c>
      <c r="H18" s="11" t="str">
        <f>myFormat(pivot!F37,pivot!F63,pivot!F91)</f>
        <v>0% (0% ; 0%)</v>
      </c>
      <c r="I18" s="11" t="str">
        <f>myFormat(pivot!G37,pivot!G63,pivot!G91)</f>
        <v>0% (0% ; 0%)</v>
      </c>
      <c r="J18" s="11" t="str">
        <f>myFormat(pivot!H37,pivot!H63,pivot!H91)</f>
        <v>0% (0% ; 0%)</v>
      </c>
      <c r="K18" s="11" t="str">
        <f>myFormat(pivot!I37,pivot!I63,pivot!I91)</f>
        <v>0% (0% ; 0%)</v>
      </c>
    </row>
    <row r="19" spans="3:11">
      <c r="C19" s="10">
        <f>pivot!A38</f>
        <v>0</v>
      </c>
      <c r="D19" s="11" t="str">
        <f>myFormat(pivot!B38,pivot!B64,pivot!B92)</f>
        <v>0% (0% ; 0%)</v>
      </c>
      <c r="E19" s="11" t="str">
        <f>myFormat(pivot!C38,pivot!C64,pivot!C92)</f>
        <v>0% (0% ; 0%)</v>
      </c>
      <c r="F19" s="11" t="str">
        <f>myFormat(pivot!D38,pivot!D64,pivot!D92)</f>
        <v>0% (0% ; 0%)</v>
      </c>
      <c r="G19" s="11" t="str">
        <f>myFormat(pivot!E38,pivot!E64,pivot!E92)</f>
        <v>0% (0% ; 0%)</v>
      </c>
      <c r="H19" s="11" t="str">
        <f>myFormat(pivot!F38,pivot!F64,pivot!F92)</f>
        <v>0% (0% ; 0%)</v>
      </c>
      <c r="I19" s="11" t="str">
        <f>myFormat(pivot!G38,pivot!G64,pivot!G92)</f>
        <v>0% (0% ; 0%)</v>
      </c>
      <c r="J19" s="11" t="str">
        <f>myFormat(pivot!H38,pivot!H64,pivot!H92)</f>
        <v>0% (0% ; 0%)</v>
      </c>
      <c r="K19" s="11" t="str">
        <f>myFormat(pivot!I38,pivot!I64,pivot!I92)</f>
        <v>0% (0% ; 0%)</v>
      </c>
    </row>
    <row r="20" spans="3:11">
      <c r="C20" s="10">
        <f>pivot!A39</f>
        <v>0</v>
      </c>
      <c r="D20" s="11" t="str">
        <f>myFormat(pivot!B39,pivot!B65,pivot!B93)</f>
        <v>0% (0% ; 0%)</v>
      </c>
      <c r="E20" s="11" t="str">
        <f>myFormat(pivot!C39,pivot!C65,pivot!C93)</f>
        <v>0% (0% ; 0%)</v>
      </c>
      <c r="F20" s="11" t="str">
        <f>myFormat(pivot!D39,pivot!D65,pivot!D93)</f>
        <v>0% (0% ; 0%)</v>
      </c>
      <c r="G20" s="11" t="str">
        <f>myFormat(pivot!E39,pivot!E65,pivot!E93)</f>
        <v>0% (0% ; 0%)</v>
      </c>
      <c r="H20" s="11" t="str">
        <f>myFormat(pivot!F39,pivot!F65,pivot!F93)</f>
        <v>0% (0% ; 0%)</v>
      </c>
      <c r="I20" s="11" t="str">
        <f>myFormat(pivot!G39,pivot!G65,pivot!G93)</f>
        <v>0% (0% ; 0%)</v>
      </c>
      <c r="J20" s="11" t="str">
        <f>myFormat(pivot!H39,pivot!H65,pivot!H93)</f>
        <v>0% (0% ; 0%)</v>
      </c>
      <c r="K20" s="11" t="str">
        <f>myFormat(pivot!I39,pivot!I65,pivot!I93)</f>
        <v>0% (0% ; 0%)</v>
      </c>
    </row>
    <row r="21" spans="3:11">
      <c r="C21" s="10">
        <f>pivot!A40</f>
        <v>0</v>
      </c>
      <c r="D21" s="11" t="str">
        <f>myFormat(pivot!B40,pivot!B66,pivot!B94)</f>
        <v>0% (0% ; 0%)</v>
      </c>
      <c r="E21" s="11" t="str">
        <f>myFormat(pivot!C40,pivot!C66,pivot!C94)</f>
        <v>0% (0% ; 0%)</v>
      </c>
      <c r="F21" s="11" t="str">
        <f>myFormat(pivot!D40,pivot!D66,pivot!D94)</f>
        <v>0% (0% ; 0%)</v>
      </c>
      <c r="G21" s="11" t="str">
        <f>myFormat(pivot!E40,pivot!E66,pivot!E94)</f>
        <v>0% (0% ; 0%)</v>
      </c>
      <c r="H21" s="11" t="str">
        <f>myFormat(pivot!F40,pivot!F66,pivot!F94)</f>
        <v>0% (0% ; 0%)</v>
      </c>
      <c r="I21" s="11" t="str">
        <f>myFormat(pivot!G40,pivot!G66,pivot!G94)</f>
        <v>0% (0% ; 0%)</v>
      </c>
      <c r="J21" s="11" t="str">
        <f>myFormat(pivot!H40,pivot!H66,pivot!H94)</f>
        <v>0% (0% ; 0%)</v>
      </c>
      <c r="K21" s="11" t="str">
        <f>myFormat(pivot!I40,pivot!I66,pivot!I94)</f>
        <v>0% (0% ; 0%)</v>
      </c>
    </row>
    <row r="22" spans="3:11">
      <c r="C22" s="10">
        <f>pivot!A41</f>
        <v>0</v>
      </c>
      <c r="D22" s="11" t="str">
        <f>myFormat(pivot!B41,pivot!B67,pivot!B95)</f>
        <v>0% (0% ; 0%)</v>
      </c>
      <c r="E22" s="11" t="str">
        <f>myFormat(pivot!C41,pivot!C67,pivot!C95)</f>
        <v>0% (0% ; 0%)</v>
      </c>
      <c r="F22" s="11" t="str">
        <f>myFormat(pivot!D41,pivot!D67,pivot!D95)</f>
        <v>0% (0% ; 0%)</v>
      </c>
      <c r="G22" s="11" t="str">
        <f>myFormat(pivot!E41,pivot!E67,pivot!E95)</f>
        <v>0% (0% ; 0%)</v>
      </c>
      <c r="H22" s="11" t="str">
        <f>myFormat(pivot!F41,pivot!F67,pivot!F95)</f>
        <v>0% (0% ; 0%)</v>
      </c>
      <c r="I22" s="11" t="str">
        <f>myFormat(pivot!G41,pivot!G67,pivot!G95)</f>
        <v>0% (0% ; 0%)</v>
      </c>
      <c r="J22" s="11" t="str">
        <f>myFormat(pivot!H41,pivot!H67,pivot!H95)</f>
        <v>0% (0% ; 0%)</v>
      </c>
      <c r="K22" s="11" t="str">
        <f>myFormat(pivot!I41,pivot!I67,pivot!I95)</f>
        <v>0% (0% ; 0%)</v>
      </c>
    </row>
    <row r="23" spans="3:11">
      <c r="C23" s="10">
        <f>pivot!A42</f>
        <v>0</v>
      </c>
      <c r="D23" s="11" t="str">
        <f>myFormat(pivot!B42,pivot!B68,pivot!B96)</f>
        <v>0% (0% ; 0%)</v>
      </c>
      <c r="E23" s="11" t="str">
        <f>myFormat(pivot!C42,pivot!C68,pivot!C96)</f>
        <v>0% (0% ; 0%)</v>
      </c>
      <c r="F23" s="11" t="str">
        <f>myFormat(pivot!D42,pivot!D68,pivot!D96)</f>
        <v>0% (0% ; 0%)</v>
      </c>
      <c r="G23" s="11" t="str">
        <f>myFormat(pivot!E42,pivot!E68,pivot!E96)</f>
        <v>0% (0% ; 0%)</v>
      </c>
      <c r="H23" s="11" t="str">
        <f>myFormat(pivot!F42,pivot!F68,pivot!F96)</f>
        <v>0% (0% ; 0%)</v>
      </c>
      <c r="I23" s="11" t="str">
        <f>myFormat(pivot!G42,pivot!G68,pivot!G96)</f>
        <v>0% (0% ; 0%)</v>
      </c>
      <c r="J23" s="11" t="str">
        <f>myFormat(pivot!H42,pivot!H68,pivot!H96)</f>
        <v>0% (0% ; 0%)</v>
      </c>
      <c r="K23" s="11" t="str">
        <f>myFormat(pivot!I42,pivot!I68,pivot!I96)</f>
        <v>0% (0% ; 0%)</v>
      </c>
    </row>
    <row r="24" spans="3:11">
      <c r="C24" s="10">
        <f>pivot!A43</f>
        <v>0</v>
      </c>
      <c r="D24" s="11" t="str">
        <f>myFormat(pivot!B43,pivot!B69,pivot!B97)</f>
        <v>0% (0% ; 0%)</v>
      </c>
      <c r="E24" s="11" t="str">
        <f>myFormat(pivot!C43,pivot!C69,pivot!C97)</f>
        <v>0% (0% ; 0%)</v>
      </c>
      <c r="F24" s="11" t="str">
        <f>myFormat(pivot!D43,pivot!D69,pivot!D97)</f>
        <v>0% (0% ; 0%)</v>
      </c>
      <c r="G24" s="11" t="str">
        <f>myFormat(pivot!E43,pivot!E69,pivot!E97)</f>
        <v>0% (0% ; 0%)</v>
      </c>
      <c r="H24" s="11" t="str">
        <f>myFormat(pivot!F43,pivot!F69,pivot!F97)</f>
        <v>0% (0% ; 0%)</v>
      </c>
      <c r="I24" s="11" t="str">
        <f>myFormat(pivot!G43,pivot!G69,pivot!G97)</f>
        <v>0% (0% ; 0%)</v>
      </c>
      <c r="J24" s="11" t="str">
        <f>myFormat(pivot!H43,pivot!H69,pivot!H97)</f>
        <v>0% (0% ; 0%)</v>
      </c>
      <c r="K24" s="11" t="str">
        <f>myFormat(pivot!I43,pivot!I69,pivot!I97)</f>
        <v>0% (0% ; 0%)</v>
      </c>
    </row>
    <row r="25" spans="3:11">
      <c r="C25" s="10">
        <f>pivot!A44</f>
        <v>0</v>
      </c>
      <c r="D25" s="11" t="str">
        <f>myFormat(pivot!B44,pivot!B70,pivot!B98)</f>
        <v>0% (0% ; 0%)</v>
      </c>
      <c r="E25" s="11" t="str">
        <f>myFormat(pivot!C44,pivot!C70,pivot!C98)</f>
        <v>0% (0% ; 0%)</v>
      </c>
      <c r="F25" s="11" t="str">
        <f>myFormat(pivot!D44,pivot!D70,pivot!D98)</f>
        <v>0% (0% ; 0%)</v>
      </c>
      <c r="G25" s="11" t="str">
        <f>myFormat(pivot!E44,pivot!E70,pivot!E98)</f>
        <v>0% (0% ; 0%)</v>
      </c>
      <c r="H25" s="11" t="str">
        <f>myFormat(pivot!F44,pivot!F70,pivot!F98)</f>
        <v>0% (0% ; 0%)</v>
      </c>
      <c r="I25" s="11" t="str">
        <f>myFormat(pivot!G44,pivot!G70,pivot!G98)</f>
        <v>0% (0% ; 0%)</v>
      </c>
      <c r="J25" s="11" t="str">
        <f>myFormat(pivot!H44,pivot!H70,pivot!H98)</f>
        <v>0% (0% ; 0%)</v>
      </c>
      <c r="K25" s="11" t="str">
        <f>myFormat(pivot!I44,pivot!I70,pivot!I98)</f>
        <v>0% (0% ; 0%)</v>
      </c>
    </row>
    <row r="26" spans="3:11">
      <c r="C26" s="10">
        <f>pivot!A45</f>
        <v>0</v>
      </c>
      <c r="D26" s="11" t="str">
        <f>myFormat(pivot!B45,pivot!B71,pivot!B99)</f>
        <v>0% (0% ; 0%)</v>
      </c>
      <c r="E26" s="11" t="str">
        <f>myFormat(pivot!C45,pivot!C71,pivot!C99)</f>
        <v>0% (0% ; 0%)</v>
      </c>
      <c r="F26" s="11" t="str">
        <f>myFormat(pivot!D45,pivot!D71,pivot!D99)</f>
        <v>0% (0% ; 0%)</v>
      </c>
      <c r="G26" s="11" t="str">
        <f>myFormat(pivot!E45,pivot!E71,pivot!E99)</f>
        <v>0% (0% ; 0%)</v>
      </c>
      <c r="H26" s="11" t="str">
        <f>myFormat(pivot!F45,pivot!F71,pivot!F99)</f>
        <v>0% (0% ; 0%)</v>
      </c>
      <c r="I26" s="11" t="str">
        <f>myFormat(pivot!G45,pivot!G71,pivot!G99)</f>
        <v>0% (0% ; 0%)</v>
      </c>
      <c r="J26" s="11" t="str">
        <f>myFormat(pivot!H45,pivot!H71,pivot!H99)</f>
        <v>0% (0% ; 0%)</v>
      </c>
      <c r="K26" s="11" t="str">
        <f>myFormat(pivot!I45,pivot!I71,pivot!I99)</f>
        <v>0% (0% ; 0%)</v>
      </c>
    </row>
    <row r="27" spans="3:11">
      <c r="C27" s="10">
        <f>pivot!A46</f>
        <v>0</v>
      </c>
      <c r="D27" s="11" t="str">
        <f>myFormat(pivot!B46,pivot!B72,pivot!B100)</f>
        <v>0% (0% ; 0%)</v>
      </c>
      <c r="E27" s="11" t="str">
        <f>myFormat(pivot!C46,pivot!C72,pivot!C100)</f>
        <v>0% (0% ; 0%)</v>
      </c>
      <c r="F27" s="11" t="str">
        <f>myFormat(pivot!D46,pivot!D72,pivot!D100)</f>
        <v>0% (0% ; 0%)</v>
      </c>
      <c r="G27" s="11" t="str">
        <f>myFormat(pivot!E46,pivot!E72,pivot!E100)</f>
        <v>0% (0% ; 0%)</v>
      </c>
      <c r="H27" s="11" t="str">
        <f>myFormat(pivot!F46,pivot!F72,pivot!F100)</f>
        <v>0% (0% ; 0%)</v>
      </c>
      <c r="I27" s="11" t="str">
        <f>myFormat(pivot!G46,pivot!G72,pivot!G100)</f>
        <v>0% (0% ; 0%)</v>
      </c>
      <c r="J27" s="11" t="str">
        <f>myFormat(pivot!H46,pivot!H72,pivot!H100)</f>
        <v>0% (0% ; 0%)</v>
      </c>
      <c r="K27" s="11" t="str">
        <f>myFormat(pivot!I46,pivot!I72,pivot!I100)</f>
        <v>0% (0% ; 0%)</v>
      </c>
    </row>
    <row r="28" spans="3:11">
      <c r="C28" s="10">
        <f>pivot!A47</f>
        <v>0</v>
      </c>
      <c r="D28" s="11" t="str">
        <f>myFormat(pivot!B47,pivot!B73,pivot!B101)</f>
        <v>0% (0% ; 0%)</v>
      </c>
      <c r="E28" s="11" t="str">
        <f>myFormat(pivot!C47,pivot!C73,pivot!C101)</f>
        <v>0% (0% ; 0%)</v>
      </c>
      <c r="F28" s="11" t="str">
        <f>myFormat(pivot!D47,pivot!D73,pivot!D101)</f>
        <v>0% (0% ; 0%)</v>
      </c>
      <c r="G28" s="11" t="str">
        <f>myFormat(pivot!E47,pivot!E73,pivot!E101)</f>
        <v>0% (0% ; 0%)</v>
      </c>
      <c r="H28" s="11" t="str">
        <f>myFormat(pivot!F47,pivot!F73,pivot!F101)</f>
        <v>0% (0% ; 0%)</v>
      </c>
      <c r="I28" s="11" t="str">
        <f>myFormat(pivot!G47,pivot!G73,pivot!G101)</f>
        <v>0% (0% ; 0%)</v>
      </c>
      <c r="J28" s="11" t="str">
        <f>myFormat(pivot!H47,pivot!H73,pivot!H101)</f>
        <v>0% (0% ; 0%)</v>
      </c>
      <c r="K28" s="11" t="str">
        <f>myFormat(pivot!I47,pivot!I73,pivot!I101)</f>
        <v>0% (0% ; 0%)</v>
      </c>
    </row>
    <row r="29" spans="3:11">
      <c r="C29" s="10">
        <f>pivot!A48</f>
        <v>0</v>
      </c>
      <c r="D29" s="11" t="str">
        <f>myFormat(pivot!B48,pivot!B74,pivot!B102)</f>
        <v>0% (0% ; 0%)</v>
      </c>
      <c r="E29" s="11" t="str">
        <f>myFormat(pivot!C48,pivot!C74,pivot!C102)</f>
        <v>0% (0% ; 0%)</v>
      </c>
      <c r="F29" s="11" t="str">
        <f>myFormat(pivot!D48,pivot!D74,pivot!D102)</f>
        <v>0% (0% ; 0%)</v>
      </c>
      <c r="G29" s="11" t="str">
        <f>myFormat(pivot!E48,pivot!E74,pivot!E102)</f>
        <v>0% (0% ; 0%)</v>
      </c>
      <c r="H29" s="11" t="str">
        <f>myFormat(pivot!F48,pivot!F74,pivot!F102)</f>
        <v>0% (0% ; 0%)</v>
      </c>
      <c r="I29" s="11" t="str">
        <f>myFormat(pivot!G48,pivot!G74,pivot!G102)</f>
        <v>0% (0% ; 0%)</v>
      </c>
      <c r="J29" s="11" t="str">
        <f>myFormat(pivot!H48,pivot!H74,pivot!H102)</f>
        <v>0% (0% ; 0%)</v>
      </c>
      <c r="K29" s="11" t="str">
        <f>myFormat(pivot!I48,pivot!I74,pivot!I102)</f>
        <v>0% (0% ; 0%)</v>
      </c>
    </row>
    <row r="30" spans="3:11">
      <c r="C30" s="10"/>
      <c r="D30" s="10"/>
      <c r="E30" s="10"/>
      <c r="F30" s="10"/>
      <c r="G30" s="10"/>
      <c r="H30" s="10"/>
      <c r="I30" s="10"/>
      <c r="J30" s="10"/>
      <c r="K30" s="10"/>
    </row>
    <row r="31" spans="3:11">
      <c r="C31" s="10"/>
      <c r="D31" s="10"/>
      <c r="E31" s="10"/>
      <c r="F31" s="10"/>
      <c r="G31" s="10"/>
      <c r="H31" s="10"/>
      <c r="I31" s="10"/>
      <c r="J31" s="10"/>
      <c r="K31" s="10"/>
    </row>
    <row r="32" spans="3:11">
      <c r="C32" s="10"/>
      <c r="D32" s="10"/>
      <c r="E32" s="10"/>
      <c r="F32" s="10"/>
      <c r="G32" s="10"/>
      <c r="H32" s="10"/>
      <c r="I32" s="10"/>
      <c r="J32" s="10"/>
      <c r="K32" s="10"/>
    </row>
    <row r="33" spans="3:11">
      <c r="C33" s="10"/>
      <c r="D33" s="10"/>
      <c r="E33" s="10"/>
      <c r="F33" s="10"/>
      <c r="G33" s="10"/>
      <c r="H33" s="10"/>
      <c r="I33" s="10"/>
      <c r="J33" s="10"/>
      <c r="K33" s="10"/>
    </row>
    <row r="34" spans="3:11">
      <c r="C34" s="10"/>
      <c r="D34" s="10"/>
      <c r="E34" s="10"/>
      <c r="F34" s="10"/>
      <c r="G34" s="10"/>
      <c r="H34" s="10"/>
      <c r="I34" s="10"/>
      <c r="J34" s="10"/>
      <c r="K34" s="10"/>
    </row>
    <row r="35" spans="3:11">
      <c r="C35" s="10"/>
      <c r="D35" s="10"/>
      <c r="E35" s="10"/>
      <c r="F35" s="10"/>
      <c r="G35" s="10"/>
      <c r="H35" s="10"/>
      <c r="I35" s="10"/>
      <c r="J35" s="10"/>
      <c r="K35" s="10"/>
    </row>
    <row r="36" spans="3:11">
      <c r="C36" s="10"/>
      <c r="D36" s="10"/>
      <c r="E36" s="10"/>
      <c r="F36" s="10"/>
      <c r="G36" s="10"/>
      <c r="H36" s="10"/>
      <c r="I36" s="10"/>
      <c r="J36" s="10"/>
      <c r="K36" s="10"/>
    </row>
    <row r="37" spans="3:11">
      <c r="C37" s="10"/>
      <c r="D37" s="10"/>
      <c r="E37" s="10"/>
      <c r="F37" s="10"/>
      <c r="G37" s="10"/>
      <c r="H37" s="10"/>
      <c r="I37" s="10"/>
      <c r="J37" s="10"/>
      <c r="K37" s="10"/>
    </row>
    <row r="38" spans="3:11">
      <c r="C38" s="10"/>
      <c r="D38" s="10"/>
      <c r="E38" s="10"/>
      <c r="F38" s="10"/>
      <c r="G38" s="10"/>
      <c r="H38" s="10"/>
      <c r="I38" s="10"/>
      <c r="J38" s="10"/>
      <c r="K38" s="10"/>
    </row>
    <row r="39" spans="3:11">
      <c r="C39" s="10"/>
      <c r="D39" s="10"/>
      <c r="E39" s="10"/>
      <c r="F39" s="10"/>
      <c r="G39" s="10"/>
      <c r="H39" s="10"/>
      <c r="I39" s="10"/>
      <c r="J39" s="10"/>
      <c r="K39" s="10"/>
    </row>
    <row r="40" spans="3:11">
      <c r="C40" s="10"/>
      <c r="D40" s="10"/>
      <c r="E40" s="10"/>
      <c r="F40" s="10"/>
      <c r="G40" s="10"/>
      <c r="H40" s="10"/>
      <c r="I40" s="10"/>
      <c r="J40" s="10"/>
      <c r="K40" s="10"/>
    </row>
    <row r="41" spans="3:11">
      <c r="C41" s="10"/>
      <c r="D41" s="10"/>
      <c r="E41" s="10"/>
      <c r="F41" s="10"/>
      <c r="G41" s="10"/>
      <c r="H41" s="10"/>
      <c r="I41" s="10"/>
      <c r="J41" s="10"/>
      <c r="K41" s="10"/>
    </row>
  </sheetData>
  <pageMargins left="0.75" right="0.75" top="1" bottom="1" header="0.5" footer="0.5"/>
  <pageSetup orientation="portrait" horizontalDpi="4294967292" verticalDpi="4294967292"/>
  <extLst>
    <ext xmlns:mx="http://schemas.microsoft.com/office/mac/excel/2008/main" uri="{64002731-A6B0-56B0-2670-7721B7C09600}">
      <mx:PLV Mode="0" OnePage="0" WScale="0"/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 enableFormatConditionsCalculation="0"/>
  <dimension ref="A1:I88"/>
  <sheetViews>
    <sheetView workbookViewId="0">
      <selection activeCell="F19" sqref="F19"/>
    </sheetView>
  </sheetViews>
  <sheetFormatPr baseColWidth="10" defaultRowHeight="15" x14ac:dyDescent="0"/>
  <cols>
    <col min="1" max="1" width="19" customWidth="1"/>
    <col min="2" max="2" width="15.83203125" customWidth="1"/>
    <col min="3" max="9" width="12.83203125" customWidth="1"/>
    <col min="10" max="10" width="13.1640625" customWidth="1"/>
    <col min="11" max="11" width="11.1640625" customWidth="1"/>
    <col min="12" max="12" width="13.1640625" customWidth="1"/>
    <col min="13" max="13" width="11.1640625" customWidth="1"/>
    <col min="14" max="14" width="13.1640625" customWidth="1"/>
    <col min="15" max="15" width="11.1640625" customWidth="1"/>
    <col min="16" max="16" width="13.1640625" customWidth="1"/>
    <col min="17" max="17" width="11.1640625" customWidth="1"/>
    <col min="18" max="18" width="4.1640625" customWidth="1"/>
    <col min="19" max="19" width="5.1640625" customWidth="1"/>
    <col min="20" max="20" width="27.6640625" bestFit="1" customWidth="1"/>
    <col min="21" max="21" width="24.5" bestFit="1" customWidth="1"/>
    <col min="22" max="22" width="24.6640625" bestFit="1" customWidth="1"/>
    <col min="23" max="23" width="21.5" bestFit="1" customWidth="1"/>
    <col min="24" max="24" width="30.83203125" bestFit="1" customWidth="1"/>
    <col min="25" max="25" width="27.5" bestFit="1" customWidth="1"/>
    <col min="26" max="26" width="29.33203125" bestFit="1" customWidth="1"/>
    <col min="27" max="27" width="26" bestFit="1" customWidth="1"/>
  </cols>
  <sheetData>
    <row r="1" spans="1:9" ht="25">
      <c r="A1" s="8" t="s">
        <v>25</v>
      </c>
      <c r="B1" s="8"/>
      <c r="C1" s="8"/>
      <c r="D1" s="8"/>
      <c r="E1" s="8"/>
      <c r="F1" s="7"/>
      <c r="G1" s="7"/>
    </row>
    <row r="2" spans="1:9" ht="25">
      <c r="A2" s="8" t="s">
        <v>26</v>
      </c>
      <c r="B2" s="8"/>
      <c r="C2" s="8"/>
      <c r="D2" s="8"/>
      <c r="E2" s="8"/>
      <c r="F2" s="7"/>
      <c r="G2" s="7"/>
    </row>
    <row r="6" spans="1:9">
      <c r="A6" s="2" t="s">
        <v>4</v>
      </c>
      <c r="B6" s="4">
        <v>0.9</v>
      </c>
    </row>
    <row r="8" spans="1:9">
      <c r="A8" s="2" t="s">
        <v>20</v>
      </c>
      <c r="B8" s="2" t="s">
        <v>19</v>
      </c>
    </row>
    <row r="9" spans="1:9">
      <c r="B9">
        <v>1</v>
      </c>
      <c r="F9">
        <v>1.8</v>
      </c>
    </row>
    <row r="10" spans="1:9">
      <c r="A10" s="2" t="s">
        <v>21</v>
      </c>
      <c r="B10">
        <v>100</v>
      </c>
      <c r="C10">
        <v>300</v>
      </c>
      <c r="D10">
        <v>600</v>
      </c>
      <c r="E10">
        <v>1200</v>
      </c>
      <c r="F10">
        <v>100</v>
      </c>
      <c r="G10">
        <v>300</v>
      </c>
      <c r="H10">
        <v>600</v>
      </c>
      <c r="I10">
        <v>1200</v>
      </c>
    </row>
    <row r="11" spans="1:9">
      <c r="A11" s="4" t="s">
        <v>16</v>
      </c>
      <c r="B11" s="3">
        <v>5</v>
      </c>
      <c r="C11" s="3">
        <v>5</v>
      </c>
      <c r="D11" s="3">
        <v>5</v>
      </c>
      <c r="E11" s="3">
        <v>5</v>
      </c>
      <c r="F11" s="3">
        <v>5</v>
      </c>
      <c r="G11" s="3">
        <v>5</v>
      </c>
      <c r="H11" s="3">
        <v>5</v>
      </c>
      <c r="I11" s="3">
        <v>5</v>
      </c>
    </row>
    <row r="12" spans="1:9">
      <c r="A12" s="5">
        <v>-28</v>
      </c>
      <c r="B12" s="3">
        <v>1</v>
      </c>
      <c r="C12" s="3">
        <v>1</v>
      </c>
      <c r="D12" s="3">
        <v>1</v>
      </c>
      <c r="E12" s="3">
        <v>1</v>
      </c>
      <c r="F12" s="3">
        <v>1</v>
      </c>
      <c r="G12" s="3">
        <v>1</v>
      </c>
      <c r="H12" s="3">
        <v>1</v>
      </c>
      <c r="I12" s="3">
        <v>1</v>
      </c>
    </row>
    <row r="13" spans="1:9">
      <c r="A13" s="5">
        <v>-14</v>
      </c>
      <c r="B13" s="3">
        <v>1</v>
      </c>
      <c r="C13" s="3">
        <v>1</v>
      </c>
      <c r="D13" s="3">
        <v>1</v>
      </c>
      <c r="E13" s="3">
        <v>1</v>
      </c>
      <c r="F13" s="3">
        <v>1</v>
      </c>
      <c r="G13" s="3">
        <v>1</v>
      </c>
      <c r="H13" s="3">
        <v>1</v>
      </c>
      <c r="I13" s="3">
        <v>1</v>
      </c>
    </row>
    <row r="14" spans="1:9">
      <c r="A14" s="5">
        <v>0</v>
      </c>
      <c r="B14" s="3">
        <v>1</v>
      </c>
      <c r="C14" s="3">
        <v>1</v>
      </c>
      <c r="D14" s="3">
        <v>1</v>
      </c>
      <c r="E14" s="3">
        <v>1</v>
      </c>
      <c r="F14" s="3">
        <v>1</v>
      </c>
      <c r="G14" s="3">
        <v>1</v>
      </c>
      <c r="H14" s="3">
        <v>1</v>
      </c>
      <c r="I14" s="3">
        <v>1</v>
      </c>
    </row>
    <row r="15" spans="1:9">
      <c r="A15" s="5">
        <v>14</v>
      </c>
      <c r="B15" s="3">
        <v>1</v>
      </c>
      <c r="C15" s="3">
        <v>1</v>
      </c>
      <c r="D15" s="3">
        <v>1</v>
      </c>
      <c r="E15" s="3">
        <v>1</v>
      </c>
      <c r="F15" s="3">
        <v>1</v>
      </c>
      <c r="G15" s="3">
        <v>1</v>
      </c>
      <c r="H15" s="3">
        <v>1</v>
      </c>
      <c r="I15" s="3">
        <v>1</v>
      </c>
    </row>
    <row r="16" spans="1:9">
      <c r="A16" s="5">
        <v>28</v>
      </c>
      <c r="B16" s="3">
        <v>1</v>
      </c>
      <c r="C16" s="3">
        <v>1</v>
      </c>
      <c r="D16" s="3">
        <v>1</v>
      </c>
      <c r="E16" s="3">
        <v>1</v>
      </c>
      <c r="F16" s="3">
        <v>1</v>
      </c>
      <c r="G16" s="3">
        <v>1</v>
      </c>
      <c r="H16" s="3">
        <v>1</v>
      </c>
      <c r="I16" s="3">
        <v>1</v>
      </c>
    </row>
    <row r="24" spans="1:9">
      <c r="A24" s="2" t="s">
        <v>4</v>
      </c>
      <c r="B24" s="4">
        <v>0.9</v>
      </c>
    </row>
    <row r="25" spans="1:9">
      <c r="A25" s="2" t="s">
        <v>15</v>
      </c>
      <c r="B25" t="s">
        <v>27</v>
      </c>
    </row>
    <row r="27" spans="1:9">
      <c r="A27" s="2" t="s">
        <v>22</v>
      </c>
      <c r="B27" s="2" t="s">
        <v>19</v>
      </c>
    </row>
    <row r="28" spans="1:9">
      <c r="B28">
        <v>1</v>
      </c>
      <c r="F28">
        <v>1.8</v>
      </c>
    </row>
    <row r="29" spans="1:9">
      <c r="A29" s="2" t="s">
        <v>21</v>
      </c>
      <c r="B29">
        <v>100</v>
      </c>
      <c r="C29">
        <v>300</v>
      </c>
      <c r="D29">
        <v>600</v>
      </c>
      <c r="E29">
        <v>1200</v>
      </c>
      <c r="F29">
        <v>100</v>
      </c>
      <c r="G29">
        <v>300</v>
      </c>
      <c r="H29">
        <v>600</v>
      </c>
      <c r="I29">
        <v>1200</v>
      </c>
    </row>
    <row r="30" spans="1:9">
      <c r="A30" s="4" t="s">
        <v>16</v>
      </c>
      <c r="B30" s="6">
        <v>2.9851938589053619E-3</v>
      </c>
      <c r="C30" s="6">
        <v>7.7076736704977139E-2</v>
      </c>
      <c r="D30" s="6">
        <v>0.20895431528165562</v>
      </c>
      <c r="E30" s="6">
        <v>0.30469154426025324</v>
      </c>
      <c r="F30" s="6">
        <v>-3.727764660310505E-2</v>
      </c>
      <c r="G30" s="6">
        <v>1.6178803767381764E-2</v>
      </c>
      <c r="H30" s="6">
        <v>8.9936217992199252E-2</v>
      </c>
      <c r="I30" s="6">
        <v>0.17405612307388302</v>
      </c>
    </row>
    <row r="31" spans="1:9">
      <c r="A31" s="5">
        <v>-28</v>
      </c>
      <c r="B31" s="6">
        <v>1.7028115774231401E-2</v>
      </c>
      <c r="C31" s="6">
        <v>0.14254111271560599</v>
      </c>
      <c r="D31" s="6">
        <v>0.45092438915279898</v>
      </c>
      <c r="E31" s="6">
        <v>0.55690360893440305</v>
      </c>
      <c r="F31" s="6">
        <v>1.1859484512124799E-2</v>
      </c>
      <c r="G31" s="6">
        <v>0.12429618991369</v>
      </c>
      <c r="H31" s="6">
        <v>0.25811837340021798</v>
      </c>
      <c r="I31" s="6">
        <v>0.45748470100555899</v>
      </c>
    </row>
    <row r="32" spans="1:9">
      <c r="A32" s="5">
        <v>-14</v>
      </c>
      <c r="B32" s="6">
        <v>5.89210497310413E-2</v>
      </c>
      <c r="C32" s="6">
        <v>0.17448555364516899</v>
      </c>
      <c r="D32" s="6">
        <v>0.38126482882365897</v>
      </c>
      <c r="E32" s="6">
        <v>0.52742004389995301</v>
      </c>
      <c r="F32" s="6">
        <v>-6.0324820500164002E-2</v>
      </c>
      <c r="G32" s="6">
        <v>4.6726328430729699E-2</v>
      </c>
      <c r="H32" s="6">
        <v>0.19168072429969801</v>
      </c>
      <c r="I32" s="6">
        <v>0.275683401191403</v>
      </c>
    </row>
    <row r="33" spans="1:9">
      <c r="A33" s="5">
        <v>0</v>
      </c>
      <c r="B33" s="6">
        <v>-4.08815067888759E-2</v>
      </c>
      <c r="C33" s="6">
        <v>4.8346450563725697E-2</v>
      </c>
      <c r="D33" s="6">
        <v>0.14388696420355801</v>
      </c>
      <c r="E33" s="6">
        <v>0.308900939513988</v>
      </c>
      <c r="F33" s="6">
        <v>-8.1756588839696304E-2</v>
      </c>
      <c r="G33" s="6">
        <v>-6.5247712744052597E-2</v>
      </c>
      <c r="H33" s="6">
        <v>2.18378868741823E-2</v>
      </c>
      <c r="I33" s="6">
        <v>0.14344053257040201</v>
      </c>
    </row>
    <row r="34" spans="1:9">
      <c r="A34" s="5">
        <v>14</v>
      </c>
      <c r="B34" s="6">
        <v>-1.6360035946906298E-2</v>
      </c>
      <c r="C34" s="6">
        <v>2.4172033308151399E-2</v>
      </c>
      <c r="D34" s="6">
        <v>5.5584170120127001E-2</v>
      </c>
      <c r="E34" s="6">
        <v>0.11304317678492599</v>
      </c>
      <c r="F34" s="6">
        <v>-5.4791363674449901E-2</v>
      </c>
      <c r="G34" s="6">
        <v>-2.69534775771329E-2</v>
      </c>
      <c r="H34" s="6">
        <v>-2.3710862761744299E-2</v>
      </c>
      <c r="I34" s="6">
        <v>-5.6851438672802703E-3</v>
      </c>
    </row>
    <row r="35" spans="1:9">
      <c r="A35" s="5">
        <v>28</v>
      </c>
      <c r="B35" s="6">
        <v>-3.7816534749636902E-3</v>
      </c>
      <c r="C35" s="6">
        <v>-4.1614667077664097E-3</v>
      </c>
      <c r="D35" s="6">
        <v>1.3111224108135301E-2</v>
      </c>
      <c r="E35" s="6">
        <v>1.7189952167996E-2</v>
      </c>
      <c r="F35" s="6">
        <v>-1.3749445133398701E-3</v>
      </c>
      <c r="G35" s="6">
        <v>2.0726908136746102E-3</v>
      </c>
      <c r="H35" s="6">
        <v>1.7549681486422599E-3</v>
      </c>
      <c r="I35" s="6">
        <v>-6.4287553066869996E-4</v>
      </c>
    </row>
    <row r="49" spans="1:9">
      <c r="A49" s="2" t="s">
        <v>4</v>
      </c>
      <c r="B49" s="4">
        <v>0.9</v>
      </c>
    </row>
    <row r="50" spans="1:9">
      <c r="A50" s="2" t="s">
        <v>15</v>
      </c>
      <c r="B50" t="s">
        <v>27</v>
      </c>
    </row>
    <row r="52" spans="1:9">
      <c r="A52" s="2" t="s">
        <v>23</v>
      </c>
      <c r="B52" s="2" t="s">
        <v>19</v>
      </c>
    </row>
    <row r="53" spans="1:9">
      <c r="B53">
        <v>1</v>
      </c>
      <c r="F53">
        <v>1.8</v>
      </c>
    </row>
    <row r="54" spans="1:9">
      <c r="A54" s="2" t="s">
        <v>21</v>
      </c>
      <c r="B54">
        <v>100</v>
      </c>
      <c r="C54">
        <v>300</v>
      </c>
      <c r="D54">
        <v>600</v>
      </c>
      <c r="E54">
        <v>1200</v>
      </c>
      <c r="F54">
        <v>100</v>
      </c>
      <c r="G54">
        <v>300</v>
      </c>
      <c r="H54">
        <v>600</v>
      </c>
      <c r="I54">
        <v>1200</v>
      </c>
    </row>
    <row r="55" spans="1:9">
      <c r="A55" s="4" t="s">
        <v>16</v>
      </c>
      <c r="B55" s="3">
        <v>-0.54356626694289456</v>
      </c>
      <c r="C55" s="3">
        <v>-0.51147354497354491</v>
      </c>
      <c r="D55" s="3">
        <v>-0.29054229123351771</v>
      </c>
      <c r="E55" s="3">
        <v>-0.20656768629683517</v>
      </c>
      <c r="F55" s="3">
        <v>-0.55129424050321896</v>
      </c>
      <c r="G55" s="3">
        <v>-0.44400918964076863</v>
      </c>
      <c r="H55" s="3">
        <v>-0.41902384559646927</v>
      </c>
      <c r="I55" s="3">
        <v>-0.26334217940049581</v>
      </c>
    </row>
    <row r="56" spans="1:9">
      <c r="A56" s="5">
        <v>-28</v>
      </c>
      <c r="B56" s="3">
        <v>-0.69666666666666699</v>
      </c>
      <c r="C56" s="3">
        <v>-0.69666666666666699</v>
      </c>
      <c r="D56" s="3">
        <v>-6.9856459330143506E-2</v>
      </c>
      <c r="E56" s="3">
        <v>0</v>
      </c>
      <c r="F56" s="3">
        <v>-0.64473684210526305</v>
      </c>
      <c r="G56" s="3">
        <v>-0.456666666666667</v>
      </c>
      <c r="H56" s="3">
        <v>-0.330701754385965</v>
      </c>
      <c r="I56" s="3">
        <v>0</v>
      </c>
    </row>
    <row r="57" spans="1:9">
      <c r="A57" s="5">
        <v>-14</v>
      </c>
      <c r="B57" s="3">
        <v>-0.5</v>
      </c>
      <c r="C57" s="3">
        <v>-0.452380952380952</v>
      </c>
      <c r="D57" s="3">
        <v>-0.247899159663866</v>
      </c>
      <c r="E57" s="3">
        <v>-0.119047619047619</v>
      </c>
      <c r="F57" s="3">
        <v>-0.84880952380952401</v>
      </c>
      <c r="G57" s="3">
        <v>-0.52631578947368396</v>
      </c>
      <c r="H57" s="3">
        <v>-0.46539473684210497</v>
      </c>
      <c r="I57" s="3">
        <v>-0.24027777777777801</v>
      </c>
    </row>
    <row r="58" spans="1:9">
      <c r="A58" s="5">
        <v>0</v>
      </c>
      <c r="B58" s="3">
        <v>-0.71607142857142903</v>
      </c>
      <c r="C58" s="3">
        <v>-0.57535714285714301</v>
      </c>
      <c r="D58" s="3">
        <v>-0.33541666666666697</v>
      </c>
      <c r="E58" s="3">
        <v>-0.28721804511278198</v>
      </c>
      <c r="F58" s="3">
        <v>-0.77277777777777801</v>
      </c>
      <c r="G58" s="3">
        <v>-0.73750000000000004</v>
      </c>
      <c r="H58" s="3">
        <v>-0.66666666666666696</v>
      </c>
      <c r="I58" s="3">
        <v>-0.46338235294117602</v>
      </c>
    </row>
    <row r="59" spans="1:9">
      <c r="A59" s="5">
        <v>14</v>
      </c>
      <c r="B59" s="3">
        <v>-0.55015957446808506</v>
      </c>
      <c r="C59" s="3">
        <v>-0.58250000000000002</v>
      </c>
      <c r="D59" s="3">
        <v>-0.54953917050691203</v>
      </c>
      <c r="E59" s="3">
        <v>-0.45403225806451603</v>
      </c>
      <c r="F59" s="3">
        <v>-0.48249999999999998</v>
      </c>
      <c r="G59" s="3">
        <v>-0.485416666666667</v>
      </c>
      <c r="H59" s="3">
        <v>-0.62250000000000005</v>
      </c>
      <c r="I59" s="3">
        <v>-0.6</v>
      </c>
    </row>
    <row r="60" spans="1:9">
      <c r="A60" s="5">
        <v>28</v>
      </c>
      <c r="B60" s="3">
        <v>-0.25493366500829201</v>
      </c>
      <c r="C60" s="3">
        <v>-0.250462962962963</v>
      </c>
      <c r="D60" s="3">
        <v>-0.25</v>
      </c>
      <c r="E60" s="3">
        <v>-0.17254050925925901</v>
      </c>
      <c r="F60" s="3">
        <v>-7.64705882352942E-3</v>
      </c>
      <c r="G60" s="3">
        <v>-1.4146825396825401E-2</v>
      </c>
      <c r="H60" s="3">
        <v>-9.8560700876095097E-3</v>
      </c>
      <c r="I60" s="3">
        <v>-1.30507662835249E-2</v>
      </c>
    </row>
    <row r="78" spans="1:2">
      <c r="A78" s="2" t="s">
        <v>4</v>
      </c>
      <c r="B78" s="4">
        <v>0.9</v>
      </c>
    </row>
    <row r="80" spans="1:2">
      <c r="A80" s="2" t="s">
        <v>24</v>
      </c>
      <c r="B80" s="2" t="s">
        <v>19</v>
      </c>
    </row>
    <row r="81" spans="1:9">
      <c r="B81">
        <v>1</v>
      </c>
      <c r="F81">
        <v>1.8</v>
      </c>
    </row>
    <row r="82" spans="1:9">
      <c r="A82" s="2" t="s">
        <v>21</v>
      </c>
      <c r="B82">
        <v>100</v>
      </c>
      <c r="C82">
        <v>300</v>
      </c>
      <c r="D82">
        <v>600</v>
      </c>
      <c r="E82">
        <v>1200</v>
      </c>
      <c r="F82">
        <v>100</v>
      </c>
      <c r="G82">
        <v>300</v>
      </c>
      <c r="H82">
        <v>600</v>
      </c>
      <c r="I82">
        <v>1200</v>
      </c>
    </row>
    <row r="83" spans="1:9">
      <c r="A83" s="4" t="s">
        <v>16</v>
      </c>
      <c r="B83" s="3">
        <v>0.40233182907568665</v>
      </c>
      <c r="C83" s="3">
        <v>0.58673180943464875</v>
      </c>
      <c r="D83" s="3">
        <v>0.65331774265851306</v>
      </c>
      <c r="E83" s="3">
        <v>0.7226170426373264</v>
      </c>
      <c r="F83" s="3">
        <v>0.33692451298701298</v>
      </c>
      <c r="G83" s="3">
        <v>0.38802261954852907</v>
      </c>
      <c r="H83" s="3">
        <v>0.51964103566635222</v>
      </c>
      <c r="I83" s="3">
        <v>0.52116182772953068</v>
      </c>
    </row>
    <row r="84" spans="1:9">
      <c r="A84" s="5">
        <v>-28</v>
      </c>
      <c r="B84" s="3">
        <v>0.47026515151515103</v>
      </c>
      <c r="C84" s="3">
        <v>0.76249999999999996</v>
      </c>
      <c r="D84" s="3">
        <v>1</v>
      </c>
      <c r="E84" s="3">
        <v>1</v>
      </c>
      <c r="F84" s="3">
        <v>0.5</v>
      </c>
      <c r="G84" s="3">
        <v>0.73295454545454497</v>
      </c>
      <c r="H84" s="3">
        <v>0.76923076923076905</v>
      </c>
      <c r="I84" s="3">
        <v>1</v>
      </c>
    </row>
    <row r="85" spans="1:9">
      <c r="A85" s="5">
        <v>-14</v>
      </c>
      <c r="B85" s="3">
        <v>0.50403225806451601</v>
      </c>
      <c r="C85" s="3">
        <v>1</v>
      </c>
      <c r="D85" s="3">
        <v>1</v>
      </c>
      <c r="E85" s="3">
        <v>1</v>
      </c>
      <c r="F85" s="3">
        <v>0.42075892857142899</v>
      </c>
      <c r="G85" s="3">
        <v>0.48653846153846197</v>
      </c>
      <c r="H85" s="3">
        <v>1</v>
      </c>
      <c r="I85" s="3">
        <v>0.65833333333333299</v>
      </c>
    </row>
    <row r="86" spans="1:9">
      <c r="A86" s="5">
        <v>0</v>
      </c>
      <c r="B86" s="3">
        <v>0.44444444444444398</v>
      </c>
      <c r="C86" s="3">
        <v>0.50192307692307603</v>
      </c>
      <c r="D86" s="3">
        <v>0.55634920634920604</v>
      </c>
      <c r="E86" s="3">
        <v>0.77796934865900402</v>
      </c>
      <c r="F86" s="3">
        <v>0.410833333333333</v>
      </c>
      <c r="G86" s="3">
        <v>0.322455197132617</v>
      </c>
      <c r="H86" s="3">
        <v>0.42034358047016301</v>
      </c>
      <c r="I86" s="3">
        <v>0.56233766233766203</v>
      </c>
    </row>
    <row r="87" spans="1:9">
      <c r="A87" s="5">
        <v>14</v>
      </c>
      <c r="B87" s="3">
        <v>0.392572463768115</v>
      </c>
      <c r="C87" s="3">
        <v>0.44636015325670397</v>
      </c>
      <c r="D87" s="3">
        <v>0.50192307692307603</v>
      </c>
      <c r="E87" s="3">
        <v>0.54545454545454497</v>
      </c>
      <c r="F87" s="3">
        <v>0.35303030303030303</v>
      </c>
      <c r="G87" s="3">
        <v>0.39124999999999999</v>
      </c>
      <c r="H87" s="3">
        <v>0.39461538461538498</v>
      </c>
      <c r="I87" s="3">
        <v>0.37636868920796701</v>
      </c>
    </row>
    <row r="88" spans="1:9">
      <c r="A88" s="5">
        <v>28</v>
      </c>
      <c r="B88" s="3">
        <v>0.200344827586207</v>
      </c>
      <c r="C88" s="3">
        <v>0.22287581699346401</v>
      </c>
      <c r="D88" s="3">
        <v>0.20831643002028299</v>
      </c>
      <c r="E88" s="3">
        <v>0.28966131907308301</v>
      </c>
      <c r="F88" s="3">
        <v>0</v>
      </c>
      <c r="G88" s="3">
        <v>6.9148936170213404E-3</v>
      </c>
      <c r="H88" s="3">
        <v>1.4015444015444E-2</v>
      </c>
      <c r="I88" s="3">
        <v>8.76945376869088E-3</v>
      </c>
    </row>
  </sheetData>
  <pageMargins left="0.75" right="0.75" top="1" bottom="1" header="0.5" footer="0.5"/>
  <pageSetup orientation="portrait" horizontalDpi="4294967292" verticalDpi="4294967292"/>
  <extLst>
    <ext xmlns:mx="http://schemas.microsoft.com/office/mac/excel/2008/main" uri="{64002731-A6B0-56B0-2670-7721B7C09600}">
      <mx:PLV Mode="0" OnePage="0" WScale="0"/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 enableFormatConditionsCalculation="0"/>
  <dimension ref="A1:P121"/>
  <sheetViews>
    <sheetView workbookViewId="0">
      <selection activeCell="L1" sqref="L1"/>
    </sheetView>
  </sheetViews>
  <sheetFormatPr baseColWidth="10" defaultRowHeight="15" x14ac:dyDescent="0"/>
  <sheetData>
    <row r="1" spans="1:16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  <c r="H1" t="s">
        <v>7</v>
      </c>
      <c r="I1" t="s">
        <v>8</v>
      </c>
      <c r="J1" t="s">
        <v>9</v>
      </c>
      <c r="K1" t="s">
        <v>10</v>
      </c>
      <c r="L1" t="s">
        <v>11</v>
      </c>
      <c r="M1" t="s">
        <v>12</v>
      </c>
      <c r="N1" t="s">
        <v>13</v>
      </c>
      <c r="O1" t="s">
        <v>14</v>
      </c>
      <c r="P1" t="s">
        <v>15</v>
      </c>
    </row>
    <row r="2" spans="1:16">
      <c r="A2">
        <v>100</v>
      </c>
      <c r="B2" t="s">
        <v>16</v>
      </c>
      <c r="C2">
        <v>1</v>
      </c>
      <c r="D2">
        <v>-28</v>
      </c>
      <c r="E2">
        <v>0.3</v>
      </c>
      <c r="F2" s="1">
        <v>1.0000000000000001E-5</v>
      </c>
      <c r="G2">
        <v>-9.3932066423421806E-2</v>
      </c>
      <c r="H2">
        <v>0</v>
      </c>
      <c r="I2">
        <v>-0.93888888888888899</v>
      </c>
      <c r="J2">
        <v>0.359134615384615</v>
      </c>
      <c r="K2">
        <v>152</v>
      </c>
      <c r="L2" t="s">
        <v>17</v>
      </c>
      <c r="M2">
        <v>-4</v>
      </c>
      <c r="N2">
        <v>0.3</v>
      </c>
      <c r="O2">
        <v>0.5</v>
      </c>
      <c r="P2" t="s">
        <v>18</v>
      </c>
    </row>
    <row r="3" spans="1:16">
      <c r="A3">
        <v>100</v>
      </c>
      <c r="B3" t="s">
        <v>16</v>
      </c>
      <c r="C3">
        <v>1</v>
      </c>
      <c r="D3">
        <v>-28</v>
      </c>
      <c r="E3">
        <v>0.6</v>
      </c>
      <c r="F3" s="1">
        <v>1.0000000000000001E-5</v>
      </c>
      <c r="G3">
        <v>-8.31804549051047E-2</v>
      </c>
      <c r="H3">
        <v>1.6464237516869099E-2</v>
      </c>
      <c r="I3">
        <v>-0.996428571428571</v>
      </c>
      <c r="J3">
        <v>0.4</v>
      </c>
      <c r="K3">
        <v>152</v>
      </c>
      <c r="L3" t="s">
        <v>17</v>
      </c>
      <c r="M3">
        <v>-4</v>
      </c>
      <c r="N3">
        <v>0.6</v>
      </c>
      <c r="O3">
        <v>0.5</v>
      </c>
      <c r="P3" t="s">
        <v>18</v>
      </c>
    </row>
    <row r="4" spans="1:16">
      <c r="A4">
        <v>100</v>
      </c>
      <c r="B4" t="s">
        <v>16</v>
      </c>
      <c r="C4">
        <v>1</v>
      </c>
      <c r="D4">
        <v>-28</v>
      </c>
      <c r="E4">
        <v>0.9</v>
      </c>
      <c r="F4" s="1">
        <v>1.0000000000000001E-5</v>
      </c>
      <c r="G4">
        <v>1.7028115774231401E-2</v>
      </c>
      <c r="H4">
        <v>8.4219858156028393E-2</v>
      </c>
      <c r="I4">
        <v>-0.69666666666666699</v>
      </c>
      <c r="J4">
        <v>0.47026515151515103</v>
      </c>
      <c r="K4">
        <v>152</v>
      </c>
      <c r="L4" t="s">
        <v>17</v>
      </c>
      <c r="M4">
        <v>-4</v>
      </c>
      <c r="N4">
        <v>0.9</v>
      </c>
      <c r="O4">
        <v>0.5</v>
      </c>
      <c r="P4" t="s">
        <v>18</v>
      </c>
    </row>
    <row r="5" spans="1:16">
      <c r="A5">
        <v>100</v>
      </c>
      <c r="B5" t="s">
        <v>16</v>
      </c>
      <c r="C5">
        <v>1</v>
      </c>
      <c r="D5">
        <v>-14</v>
      </c>
      <c r="E5">
        <v>0.3</v>
      </c>
      <c r="F5" s="1">
        <v>1.0000000000000001E-5</v>
      </c>
      <c r="G5">
        <v>-3.4594093667375203E-2</v>
      </c>
      <c r="H5">
        <v>1.1235955056179799E-2</v>
      </c>
      <c r="I5">
        <v>-0.57291666666666696</v>
      </c>
      <c r="J5">
        <v>0.3828125</v>
      </c>
      <c r="K5">
        <v>176</v>
      </c>
      <c r="L5" t="s">
        <v>17</v>
      </c>
      <c r="M5">
        <v>-2</v>
      </c>
      <c r="N5">
        <v>0.3</v>
      </c>
      <c r="O5">
        <v>0.5</v>
      </c>
      <c r="P5" t="s">
        <v>18</v>
      </c>
    </row>
    <row r="6" spans="1:16">
      <c r="A6">
        <v>100</v>
      </c>
      <c r="B6" t="s">
        <v>16</v>
      </c>
      <c r="C6">
        <v>1</v>
      </c>
      <c r="D6">
        <v>-14</v>
      </c>
      <c r="E6">
        <v>0.6</v>
      </c>
      <c r="F6" s="1">
        <v>1.0000000000000001E-5</v>
      </c>
      <c r="G6">
        <v>-2.4519527849373699E-2</v>
      </c>
      <c r="H6">
        <v>6.0975609756097598E-3</v>
      </c>
      <c r="I6">
        <v>-0.439075630252101</v>
      </c>
      <c r="J6">
        <v>0.40763888888888899</v>
      </c>
      <c r="K6">
        <v>176</v>
      </c>
      <c r="L6" t="s">
        <v>17</v>
      </c>
      <c r="M6">
        <v>-2</v>
      </c>
      <c r="N6">
        <v>0.6</v>
      </c>
      <c r="O6">
        <v>0.5</v>
      </c>
      <c r="P6" t="s">
        <v>18</v>
      </c>
    </row>
    <row r="7" spans="1:16">
      <c r="A7">
        <v>100</v>
      </c>
      <c r="B7" t="s">
        <v>16</v>
      </c>
      <c r="C7">
        <v>1</v>
      </c>
      <c r="D7">
        <v>-14</v>
      </c>
      <c r="E7">
        <v>0.9</v>
      </c>
      <c r="F7" s="1">
        <v>1.0000000000000001E-5</v>
      </c>
      <c r="G7">
        <v>5.89210497310413E-2</v>
      </c>
      <c r="H7">
        <v>5.7471264367816098E-2</v>
      </c>
      <c r="I7">
        <v>-0.5</v>
      </c>
      <c r="J7">
        <v>0.50403225806451601</v>
      </c>
      <c r="K7">
        <v>176</v>
      </c>
      <c r="L7" t="s">
        <v>17</v>
      </c>
      <c r="M7">
        <v>-2</v>
      </c>
      <c r="N7">
        <v>0.9</v>
      </c>
      <c r="O7">
        <v>0.5</v>
      </c>
      <c r="P7" t="s">
        <v>18</v>
      </c>
    </row>
    <row r="8" spans="1:16">
      <c r="A8">
        <v>100</v>
      </c>
      <c r="B8" t="s">
        <v>16</v>
      </c>
      <c r="C8">
        <v>1</v>
      </c>
      <c r="D8">
        <v>0</v>
      </c>
      <c r="E8">
        <v>0.3</v>
      </c>
      <c r="F8" s="1">
        <v>1.0000000000000001E-5</v>
      </c>
      <c r="G8">
        <v>-6.4473211613653103E-2</v>
      </c>
      <c r="H8">
        <v>0</v>
      </c>
      <c r="I8">
        <v>-0.58979838709677401</v>
      </c>
      <c r="J8">
        <v>0.43021978021978002</v>
      </c>
      <c r="K8">
        <v>160</v>
      </c>
      <c r="L8" t="s">
        <v>17</v>
      </c>
      <c r="M8">
        <v>0</v>
      </c>
      <c r="N8">
        <v>0.3</v>
      </c>
      <c r="O8">
        <v>0.5</v>
      </c>
      <c r="P8" t="s">
        <v>18</v>
      </c>
    </row>
    <row r="9" spans="1:16">
      <c r="A9">
        <v>100</v>
      </c>
      <c r="B9" t="s">
        <v>16</v>
      </c>
      <c r="C9">
        <v>1</v>
      </c>
      <c r="D9">
        <v>0</v>
      </c>
      <c r="E9">
        <v>0.6</v>
      </c>
      <c r="F9" s="1">
        <v>1.0000000000000001E-5</v>
      </c>
      <c r="G9">
        <v>-4.0263355221317701E-2</v>
      </c>
      <c r="H9">
        <v>0</v>
      </c>
      <c r="I9">
        <v>-0.55255681818181801</v>
      </c>
      <c r="J9">
        <v>0.46346153846153798</v>
      </c>
      <c r="K9">
        <v>160</v>
      </c>
      <c r="L9" t="s">
        <v>17</v>
      </c>
      <c r="M9">
        <v>0</v>
      </c>
      <c r="N9">
        <v>0.6</v>
      </c>
      <c r="O9">
        <v>0.5</v>
      </c>
      <c r="P9" t="s">
        <v>18</v>
      </c>
    </row>
    <row r="10" spans="1:16">
      <c r="A10">
        <v>100</v>
      </c>
      <c r="B10" t="s">
        <v>16</v>
      </c>
      <c r="C10">
        <v>1</v>
      </c>
      <c r="D10">
        <v>0</v>
      </c>
      <c r="E10">
        <v>0.9</v>
      </c>
      <c r="F10" s="1">
        <v>1.0000000000000001E-5</v>
      </c>
      <c r="G10">
        <v>-4.08815067888759E-2</v>
      </c>
      <c r="H10">
        <v>0</v>
      </c>
      <c r="I10">
        <v>-0.71607142857142903</v>
      </c>
      <c r="J10">
        <v>0.44444444444444398</v>
      </c>
      <c r="K10">
        <v>160</v>
      </c>
      <c r="L10" t="s">
        <v>17</v>
      </c>
      <c r="M10">
        <v>0</v>
      </c>
      <c r="N10">
        <v>0.9</v>
      </c>
      <c r="O10">
        <v>0.5</v>
      </c>
      <c r="P10" t="s">
        <v>18</v>
      </c>
    </row>
    <row r="11" spans="1:16">
      <c r="A11">
        <v>100</v>
      </c>
      <c r="B11" t="s">
        <v>16</v>
      </c>
      <c r="C11">
        <v>1</v>
      </c>
      <c r="D11">
        <v>14</v>
      </c>
      <c r="E11">
        <v>0.3</v>
      </c>
      <c r="F11" s="1">
        <v>1.0000000000000001E-5</v>
      </c>
      <c r="G11">
        <v>-4.6409945494054097E-2</v>
      </c>
      <c r="H11">
        <v>0</v>
      </c>
      <c r="I11">
        <v>-0.42964285714285699</v>
      </c>
      <c r="J11">
        <v>0.38482905982906002</v>
      </c>
      <c r="K11">
        <v>160</v>
      </c>
      <c r="L11" t="s">
        <v>17</v>
      </c>
      <c r="M11">
        <v>2</v>
      </c>
      <c r="N11">
        <v>0.3</v>
      </c>
      <c r="O11">
        <v>0.5</v>
      </c>
      <c r="P11" t="s">
        <v>18</v>
      </c>
    </row>
    <row r="12" spans="1:16">
      <c r="A12">
        <v>100</v>
      </c>
      <c r="B12" t="s">
        <v>16</v>
      </c>
      <c r="C12">
        <v>1</v>
      </c>
      <c r="D12">
        <v>14</v>
      </c>
      <c r="E12">
        <v>0.6</v>
      </c>
      <c r="F12" s="1">
        <v>1.0000000000000001E-5</v>
      </c>
      <c r="G12">
        <v>-4.0600354098216801E-2</v>
      </c>
      <c r="H12">
        <v>0</v>
      </c>
      <c r="I12">
        <v>-0.52732142857142905</v>
      </c>
      <c r="J12">
        <v>0.417261904761905</v>
      </c>
      <c r="K12">
        <v>160</v>
      </c>
      <c r="L12" t="s">
        <v>17</v>
      </c>
      <c r="M12">
        <v>2</v>
      </c>
      <c r="N12">
        <v>0.6</v>
      </c>
      <c r="O12">
        <v>0.5</v>
      </c>
      <c r="P12" t="s">
        <v>18</v>
      </c>
    </row>
    <row r="13" spans="1:16">
      <c r="A13">
        <v>100</v>
      </c>
      <c r="B13" t="s">
        <v>16</v>
      </c>
      <c r="C13">
        <v>1</v>
      </c>
      <c r="D13">
        <v>14</v>
      </c>
      <c r="E13">
        <v>0.9</v>
      </c>
      <c r="F13" s="1">
        <v>1.0000000000000001E-5</v>
      </c>
      <c r="G13">
        <v>-1.6360035946906298E-2</v>
      </c>
      <c r="H13">
        <v>2.2730207929743E-2</v>
      </c>
      <c r="I13">
        <v>-0.55015957446808506</v>
      </c>
      <c r="J13">
        <v>0.392572463768115</v>
      </c>
      <c r="K13">
        <v>160</v>
      </c>
      <c r="L13" t="s">
        <v>17</v>
      </c>
      <c r="M13">
        <v>2</v>
      </c>
      <c r="N13">
        <v>0.9</v>
      </c>
      <c r="O13">
        <v>0.5</v>
      </c>
      <c r="P13" t="s">
        <v>18</v>
      </c>
    </row>
    <row r="14" spans="1:16">
      <c r="A14">
        <v>100</v>
      </c>
      <c r="B14" t="s">
        <v>16</v>
      </c>
      <c r="C14">
        <v>1</v>
      </c>
      <c r="D14">
        <v>28</v>
      </c>
      <c r="E14">
        <v>0.3</v>
      </c>
      <c r="F14" s="1">
        <v>1.0000000000000001E-5</v>
      </c>
      <c r="G14">
        <v>-1.18468511048496E-2</v>
      </c>
      <c r="H14">
        <v>0</v>
      </c>
      <c r="I14">
        <v>-0.316</v>
      </c>
      <c r="J14">
        <v>0.17870189171559001</v>
      </c>
      <c r="K14">
        <v>160</v>
      </c>
      <c r="L14" t="s">
        <v>17</v>
      </c>
      <c r="M14">
        <v>4</v>
      </c>
      <c r="N14">
        <v>0.3</v>
      </c>
      <c r="O14">
        <v>0.5</v>
      </c>
      <c r="P14" t="s">
        <v>18</v>
      </c>
    </row>
    <row r="15" spans="1:16">
      <c r="A15">
        <v>100</v>
      </c>
      <c r="B15" t="s">
        <v>16</v>
      </c>
      <c r="C15">
        <v>1</v>
      </c>
      <c r="D15">
        <v>28</v>
      </c>
      <c r="E15">
        <v>0.6</v>
      </c>
      <c r="F15" s="1">
        <v>1.0000000000000001E-5</v>
      </c>
      <c r="G15">
        <v>-7.7889491858115301E-3</v>
      </c>
      <c r="H15">
        <v>0</v>
      </c>
      <c r="I15">
        <v>-0.26051351351351398</v>
      </c>
      <c r="J15">
        <v>0.17241641337385899</v>
      </c>
      <c r="K15">
        <v>160</v>
      </c>
      <c r="L15" t="s">
        <v>17</v>
      </c>
      <c r="M15">
        <v>4</v>
      </c>
      <c r="N15">
        <v>0.6</v>
      </c>
      <c r="O15">
        <v>0.5</v>
      </c>
      <c r="P15" t="s">
        <v>18</v>
      </c>
    </row>
    <row r="16" spans="1:16">
      <c r="A16">
        <v>100</v>
      </c>
      <c r="B16" t="s">
        <v>16</v>
      </c>
      <c r="C16">
        <v>1</v>
      </c>
      <c r="D16">
        <v>28</v>
      </c>
      <c r="E16">
        <v>0.9</v>
      </c>
      <c r="F16" s="1">
        <v>1.0000000000000001E-5</v>
      </c>
      <c r="G16">
        <v>-3.7816534749636902E-3</v>
      </c>
      <c r="H16">
        <v>0</v>
      </c>
      <c r="I16">
        <v>-0.25493366500829201</v>
      </c>
      <c r="J16">
        <v>0.200344827586207</v>
      </c>
      <c r="K16">
        <v>160</v>
      </c>
      <c r="L16" t="s">
        <v>17</v>
      </c>
      <c r="M16">
        <v>4</v>
      </c>
      <c r="N16">
        <v>0.9</v>
      </c>
      <c r="O16">
        <v>0.5</v>
      </c>
      <c r="P16" t="s">
        <v>18</v>
      </c>
    </row>
    <row r="17" spans="1:16">
      <c r="A17">
        <v>100</v>
      </c>
      <c r="B17" t="s">
        <v>16</v>
      </c>
      <c r="C17">
        <v>1.8</v>
      </c>
      <c r="D17">
        <v>-28</v>
      </c>
      <c r="E17">
        <v>0.3</v>
      </c>
      <c r="F17" s="1">
        <v>1.0000000000000001E-5</v>
      </c>
      <c r="G17">
        <v>-6.2898437962187401E-2</v>
      </c>
      <c r="H17">
        <v>0</v>
      </c>
      <c r="I17">
        <v>-0.83120300751879705</v>
      </c>
      <c r="J17">
        <v>0.38461538461538503</v>
      </c>
      <c r="K17">
        <v>184</v>
      </c>
      <c r="L17" t="s">
        <v>17</v>
      </c>
      <c r="M17">
        <v>-4</v>
      </c>
      <c r="N17">
        <v>0.3</v>
      </c>
      <c r="O17">
        <v>0.7</v>
      </c>
      <c r="P17" t="s">
        <v>18</v>
      </c>
    </row>
    <row r="18" spans="1:16">
      <c r="A18">
        <v>100</v>
      </c>
      <c r="B18" t="s">
        <v>16</v>
      </c>
      <c r="C18">
        <v>1.8</v>
      </c>
      <c r="D18">
        <v>-28</v>
      </c>
      <c r="E18">
        <v>0.6</v>
      </c>
      <c r="F18" s="1">
        <v>1.0000000000000001E-5</v>
      </c>
      <c r="G18">
        <v>-1.07588529893408E-2</v>
      </c>
      <c r="H18">
        <v>1.68803418803419E-2</v>
      </c>
      <c r="I18">
        <v>-0.55590277777777797</v>
      </c>
      <c r="J18">
        <v>0.49807692307692297</v>
      </c>
      <c r="K18">
        <v>184</v>
      </c>
      <c r="L18" t="s">
        <v>17</v>
      </c>
      <c r="M18">
        <v>-4</v>
      </c>
      <c r="N18">
        <v>0.6</v>
      </c>
      <c r="O18">
        <v>0.7</v>
      </c>
      <c r="P18" t="s">
        <v>18</v>
      </c>
    </row>
    <row r="19" spans="1:16">
      <c r="A19">
        <v>100</v>
      </c>
      <c r="B19" t="s">
        <v>16</v>
      </c>
      <c r="C19">
        <v>1.8</v>
      </c>
      <c r="D19">
        <v>-28</v>
      </c>
      <c r="E19">
        <v>0.9</v>
      </c>
      <c r="F19" s="1">
        <v>1.0000000000000001E-5</v>
      </c>
      <c r="G19">
        <v>1.1859484512124799E-2</v>
      </c>
      <c r="H19">
        <v>3.1746031746031703E-2</v>
      </c>
      <c r="I19">
        <v>-0.64473684210526305</v>
      </c>
      <c r="J19">
        <v>0.5</v>
      </c>
      <c r="K19">
        <v>184</v>
      </c>
      <c r="L19" t="s">
        <v>17</v>
      </c>
      <c r="M19">
        <v>-4</v>
      </c>
      <c r="N19">
        <v>0.9</v>
      </c>
      <c r="O19">
        <v>0.7</v>
      </c>
      <c r="P19" t="s">
        <v>18</v>
      </c>
    </row>
    <row r="20" spans="1:16">
      <c r="A20">
        <v>100</v>
      </c>
      <c r="B20" t="s">
        <v>16</v>
      </c>
      <c r="C20">
        <v>1.8</v>
      </c>
      <c r="D20">
        <v>-14</v>
      </c>
      <c r="E20">
        <v>0.3</v>
      </c>
      <c r="F20" s="1">
        <v>1.0000000000000001E-5</v>
      </c>
      <c r="G20">
        <v>-9.1393028196237694E-2</v>
      </c>
      <c r="H20">
        <v>6.4935064935064896E-3</v>
      </c>
      <c r="I20">
        <v>-0.66666666666666696</v>
      </c>
      <c r="J20">
        <v>0.37618135376756101</v>
      </c>
      <c r="K20">
        <v>188</v>
      </c>
      <c r="L20" t="s">
        <v>17</v>
      </c>
      <c r="M20">
        <v>-2</v>
      </c>
      <c r="N20">
        <v>0.3</v>
      </c>
      <c r="O20">
        <v>0.7</v>
      </c>
      <c r="P20" t="s">
        <v>18</v>
      </c>
    </row>
    <row r="21" spans="1:16">
      <c r="A21">
        <v>100</v>
      </c>
      <c r="B21" t="s">
        <v>16</v>
      </c>
      <c r="C21">
        <v>1.8</v>
      </c>
      <c r="D21">
        <v>-14</v>
      </c>
      <c r="E21">
        <v>0.6</v>
      </c>
      <c r="F21" s="1">
        <v>1.0000000000000001E-5</v>
      </c>
      <c r="G21">
        <v>-6.7552706868979295E-2</v>
      </c>
      <c r="H21">
        <v>1.02040816326531E-2</v>
      </c>
      <c r="I21">
        <v>-0.82604166666666701</v>
      </c>
      <c r="J21">
        <v>0.39084782608695701</v>
      </c>
      <c r="K21">
        <v>188</v>
      </c>
      <c r="L21" t="s">
        <v>17</v>
      </c>
      <c r="M21">
        <v>-2</v>
      </c>
      <c r="N21">
        <v>0.6</v>
      </c>
      <c r="O21">
        <v>0.7</v>
      </c>
      <c r="P21" t="s">
        <v>18</v>
      </c>
    </row>
    <row r="22" spans="1:16">
      <c r="A22">
        <v>100</v>
      </c>
      <c r="B22" t="s">
        <v>16</v>
      </c>
      <c r="C22">
        <v>1.8</v>
      </c>
      <c r="D22">
        <v>-14</v>
      </c>
      <c r="E22">
        <v>0.9</v>
      </c>
      <c r="F22" s="1">
        <v>1.0000000000000001E-5</v>
      </c>
      <c r="G22">
        <v>-6.0324820500164002E-2</v>
      </c>
      <c r="H22">
        <v>0</v>
      </c>
      <c r="I22">
        <v>-0.84880952380952401</v>
      </c>
      <c r="J22">
        <v>0.42075892857142899</v>
      </c>
      <c r="K22">
        <v>188</v>
      </c>
      <c r="L22" t="s">
        <v>17</v>
      </c>
      <c r="M22">
        <v>-2</v>
      </c>
      <c r="N22">
        <v>0.9</v>
      </c>
      <c r="O22">
        <v>0.7</v>
      </c>
      <c r="P22" t="s">
        <v>18</v>
      </c>
    </row>
    <row r="23" spans="1:16">
      <c r="A23">
        <v>100</v>
      </c>
      <c r="B23" t="s">
        <v>16</v>
      </c>
      <c r="C23">
        <v>1.8</v>
      </c>
      <c r="D23">
        <v>0</v>
      </c>
      <c r="E23">
        <v>0.3</v>
      </c>
      <c r="F23" s="1">
        <v>1.0000000000000001E-5</v>
      </c>
      <c r="G23">
        <v>-0.102727800630131</v>
      </c>
      <c r="H23">
        <v>-1.31601731601732E-2</v>
      </c>
      <c r="I23">
        <v>-0.95</v>
      </c>
      <c r="J23">
        <v>0.37833333333333302</v>
      </c>
      <c r="K23">
        <v>188</v>
      </c>
      <c r="L23" t="s">
        <v>17</v>
      </c>
      <c r="M23">
        <v>0</v>
      </c>
      <c r="N23">
        <v>0.3</v>
      </c>
      <c r="O23">
        <v>0.7</v>
      </c>
      <c r="P23" t="s">
        <v>18</v>
      </c>
    </row>
    <row r="24" spans="1:16">
      <c r="A24">
        <v>100</v>
      </c>
      <c r="B24" t="s">
        <v>16</v>
      </c>
      <c r="C24">
        <v>1.8</v>
      </c>
      <c r="D24">
        <v>0</v>
      </c>
      <c r="E24">
        <v>0.6</v>
      </c>
      <c r="F24" s="1">
        <v>1.0000000000000001E-5</v>
      </c>
      <c r="G24">
        <v>-3.9426917966140701E-2</v>
      </c>
      <c r="H24">
        <v>3.00337457817773E-2</v>
      </c>
      <c r="I24">
        <v>-0.64355263157894704</v>
      </c>
      <c r="J24">
        <v>0.38176470588235301</v>
      </c>
      <c r="K24">
        <v>188</v>
      </c>
      <c r="L24" t="s">
        <v>17</v>
      </c>
      <c r="M24">
        <v>0</v>
      </c>
      <c r="N24">
        <v>0.6</v>
      </c>
      <c r="O24">
        <v>0.7</v>
      </c>
      <c r="P24" t="s">
        <v>18</v>
      </c>
    </row>
    <row r="25" spans="1:16">
      <c r="A25">
        <v>100</v>
      </c>
      <c r="B25" t="s">
        <v>16</v>
      </c>
      <c r="C25">
        <v>1.8</v>
      </c>
      <c r="D25">
        <v>0</v>
      </c>
      <c r="E25">
        <v>0.9</v>
      </c>
      <c r="F25" s="1">
        <v>1.0000000000000001E-5</v>
      </c>
      <c r="G25">
        <v>-8.1756588839696304E-2</v>
      </c>
      <c r="H25">
        <v>0</v>
      </c>
      <c r="I25">
        <v>-0.77277777777777801</v>
      </c>
      <c r="J25">
        <v>0.410833333333333</v>
      </c>
      <c r="K25">
        <v>188</v>
      </c>
      <c r="L25" t="s">
        <v>17</v>
      </c>
      <c r="M25">
        <v>0</v>
      </c>
      <c r="N25">
        <v>0.9</v>
      </c>
      <c r="O25">
        <v>0.7</v>
      </c>
      <c r="P25" t="s">
        <v>18</v>
      </c>
    </row>
    <row r="26" spans="1:16">
      <c r="A26">
        <v>100</v>
      </c>
      <c r="B26" t="s">
        <v>16</v>
      </c>
      <c r="C26">
        <v>1.8</v>
      </c>
      <c r="D26">
        <v>14</v>
      </c>
      <c r="E26">
        <v>0.3</v>
      </c>
      <c r="F26" s="1">
        <v>1.0000000000000001E-5</v>
      </c>
      <c r="G26">
        <v>-3.2515847223888901E-2</v>
      </c>
      <c r="H26">
        <v>0</v>
      </c>
      <c r="I26">
        <v>-0.4</v>
      </c>
      <c r="J26">
        <v>0.33333333333333298</v>
      </c>
      <c r="K26">
        <v>188</v>
      </c>
      <c r="L26" t="s">
        <v>17</v>
      </c>
      <c r="M26">
        <v>2</v>
      </c>
      <c r="N26">
        <v>0.3</v>
      </c>
      <c r="O26">
        <v>0.7</v>
      </c>
      <c r="P26" t="s">
        <v>18</v>
      </c>
    </row>
    <row r="27" spans="1:16">
      <c r="A27">
        <v>100</v>
      </c>
      <c r="B27" t="s">
        <v>16</v>
      </c>
      <c r="C27">
        <v>1.8</v>
      </c>
      <c r="D27">
        <v>14</v>
      </c>
      <c r="E27">
        <v>0.6</v>
      </c>
      <c r="F27" s="1">
        <v>1.0000000000000001E-5</v>
      </c>
      <c r="G27">
        <v>-6.0916299381815399E-2</v>
      </c>
      <c r="H27">
        <v>9.4805895039539907E-3</v>
      </c>
      <c r="I27">
        <v>-0.5</v>
      </c>
      <c r="J27">
        <v>0.288333333333333</v>
      </c>
      <c r="K27">
        <v>188</v>
      </c>
      <c r="L27" t="s">
        <v>17</v>
      </c>
      <c r="M27">
        <v>2</v>
      </c>
      <c r="N27">
        <v>0.6</v>
      </c>
      <c r="O27">
        <v>0.7</v>
      </c>
      <c r="P27" t="s">
        <v>18</v>
      </c>
    </row>
    <row r="28" spans="1:16">
      <c r="A28">
        <v>100</v>
      </c>
      <c r="B28" t="s">
        <v>16</v>
      </c>
      <c r="C28">
        <v>1.8</v>
      </c>
      <c r="D28">
        <v>14</v>
      </c>
      <c r="E28">
        <v>0.9</v>
      </c>
      <c r="F28" s="1">
        <v>1.0000000000000001E-5</v>
      </c>
      <c r="G28">
        <v>-5.4791363674449901E-2</v>
      </c>
      <c r="H28">
        <v>0</v>
      </c>
      <c r="I28">
        <v>-0.48249999999999998</v>
      </c>
      <c r="J28">
        <v>0.35303030303030303</v>
      </c>
      <c r="K28">
        <v>188</v>
      </c>
      <c r="L28" t="s">
        <v>17</v>
      </c>
      <c r="M28">
        <v>2</v>
      </c>
      <c r="N28">
        <v>0.9</v>
      </c>
      <c r="O28">
        <v>0.7</v>
      </c>
      <c r="P28" t="s">
        <v>18</v>
      </c>
    </row>
    <row r="29" spans="1:16">
      <c r="A29">
        <v>100</v>
      </c>
      <c r="B29" t="s">
        <v>16</v>
      </c>
      <c r="C29">
        <v>1.8</v>
      </c>
      <c r="D29">
        <v>28</v>
      </c>
      <c r="E29">
        <v>0.3</v>
      </c>
      <c r="F29" s="1">
        <v>1.0000000000000001E-5</v>
      </c>
      <c r="G29">
        <v>1.57094780443945E-3</v>
      </c>
      <c r="H29">
        <v>0</v>
      </c>
      <c r="I29">
        <v>0</v>
      </c>
      <c r="J29">
        <v>0</v>
      </c>
      <c r="K29">
        <v>188</v>
      </c>
      <c r="L29" t="s">
        <v>17</v>
      </c>
      <c r="M29">
        <v>4</v>
      </c>
      <c r="N29">
        <v>0.3</v>
      </c>
      <c r="O29">
        <v>0.7</v>
      </c>
      <c r="P29" t="s">
        <v>18</v>
      </c>
    </row>
    <row r="30" spans="1:16">
      <c r="A30">
        <v>100</v>
      </c>
      <c r="B30" t="s">
        <v>16</v>
      </c>
      <c r="C30">
        <v>1.8</v>
      </c>
      <c r="D30">
        <v>28</v>
      </c>
      <c r="E30">
        <v>0.6</v>
      </c>
      <c r="F30" s="1">
        <v>1.0000000000000001E-5</v>
      </c>
      <c r="G30">
        <v>9.5195907012024896E-4</v>
      </c>
      <c r="H30">
        <v>0</v>
      </c>
      <c r="I30">
        <v>0</v>
      </c>
      <c r="J30">
        <v>0</v>
      </c>
      <c r="K30">
        <v>188</v>
      </c>
      <c r="L30" t="s">
        <v>17</v>
      </c>
      <c r="M30">
        <v>4</v>
      </c>
      <c r="N30">
        <v>0.6</v>
      </c>
      <c r="O30">
        <v>0.7</v>
      </c>
      <c r="P30" t="s">
        <v>18</v>
      </c>
    </row>
    <row r="31" spans="1:16">
      <c r="A31">
        <v>100</v>
      </c>
      <c r="B31" t="s">
        <v>16</v>
      </c>
      <c r="C31">
        <v>1.8</v>
      </c>
      <c r="D31">
        <v>28</v>
      </c>
      <c r="E31">
        <v>0.9</v>
      </c>
      <c r="F31" s="1">
        <v>1.0000000000000001E-5</v>
      </c>
      <c r="G31">
        <v>-1.3749445133398701E-3</v>
      </c>
      <c r="H31">
        <v>0</v>
      </c>
      <c r="I31">
        <v>-7.64705882352942E-3</v>
      </c>
      <c r="J31">
        <v>0</v>
      </c>
      <c r="K31">
        <v>188</v>
      </c>
      <c r="L31" t="s">
        <v>17</v>
      </c>
      <c r="M31">
        <v>4</v>
      </c>
      <c r="N31">
        <v>0.9</v>
      </c>
      <c r="O31">
        <v>0.7</v>
      </c>
      <c r="P31" t="s">
        <v>18</v>
      </c>
    </row>
    <row r="32" spans="1:16">
      <c r="A32">
        <v>300</v>
      </c>
      <c r="B32" t="s">
        <v>16</v>
      </c>
      <c r="C32">
        <v>1</v>
      </c>
      <c r="D32">
        <v>-28</v>
      </c>
      <c r="E32">
        <v>0.3</v>
      </c>
      <c r="F32" s="1">
        <v>1.0000000000000001E-5</v>
      </c>
      <c r="G32">
        <v>-4.1866523374293099E-2</v>
      </c>
      <c r="H32">
        <v>5.0505050505050501E-3</v>
      </c>
      <c r="I32">
        <v>-0.70736842105263098</v>
      </c>
      <c r="J32">
        <v>0.57555555555555504</v>
      </c>
      <c r="K32">
        <v>152</v>
      </c>
      <c r="L32" t="s">
        <v>17</v>
      </c>
      <c r="M32">
        <v>-4</v>
      </c>
      <c r="N32">
        <v>0.3</v>
      </c>
      <c r="O32">
        <v>0.5</v>
      </c>
      <c r="P32" t="s">
        <v>18</v>
      </c>
    </row>
    <row r="33" spans="1:16">
      <c r="A33">
        <v>300</v>
      </c>
      <c r="B33" t="s">
        <v>16</v>
      </c>
      <c r="C33">
        <v>1</v>
      </c>
      <c r="D33">
        <v>-28</v>
      </c>
      <c r="E33">
        <v>0.6</v>
      </c>
      <c r="F33" s="1">
        <v>1.0000000000000001E-5</v>
      </c>
      <c r="G33">
        <v>-5.1688729746678401E-4</v>
      </c>
      <c r="H33">
        <v>6.9047619047619094E-2</v>
      </c>
      <c r="I33">
        <v>-0.47884615384615398</v>
      </c>
      <c r="J33">
        <v>0.41999999999999899</v>
      </c>
      <c r="K33">
        <v>152</v>
      </c>
      <c r="L33" t="s">
        <v>17</v>
      </c>
      <c r="M33">
        <v>-4</v>
      </c>
      <c r="N33">
        <v>0.6</v>
      </c>
      <c r="O33">
        <v>0.5</v>
      </c>
      <c r="P33" t="s">
        <v>18</v>
      </c>
    </row>
    <row r="34" spans="1:16">
      <c r="A34">
        <v>300</v>
      </c>
      <c r="B34" t="s">
        <v>16</v>
      </c>
      <c r="C34">
        <v>1</v>
      </c>
      <c r="D34">
        <v>-28</v>
      </c>
      <c r="E34">
        <v>0.9</v>
      </c>
      <c r="F34" s="1">
        <v>1.0000000000000001E-5</v>
      </c>
      <c r="G34">
        <v>0.14254111271560599</v>
      </c>
      <c r="H34">
        <v>0.23779761904761901</v>
      </c>
      <c r="I34">
        <v>-0.69666666666666699</v>
      </c>
      <c r="J34">
        <v>0.76249999999999996</v>
      </c>
      <c r="K34">
        <v>152</v>
      </c>
      <c r="L34" t="s">
        <v>17</v>
      </c>
      <c r="M34">
        <v>-4</v>
      </c>
      <c r="N34">
        <v>0.9</v>
      </c>
      <c r="O34">
        <v>0.5</v>
      </c>
      <c r="P34" t="s">
        <v>18</v>
      </c>
    </row>
    <row r="35" spans="1:16">
      <c r="A35">
        <v>300</v>
      </c>
      <c r="B35" t="s">
        <v>16</v>
      </c>
      <c r="C35">
        <v>1</v>
      </c>
      <c r="D35">
        <v>-14</v>
      </c>
      <c r="E35">
        <v>0.3</v>
      </c>
      <c r="F35" s="1">
        <v>1.0000000000000001E-5</v>
      </c>
      <c r="G35">
        <v>1.52697096308916E-2</v>
      </c>
      <c r="H35">
        <v>2.38399318859089E-2</v>
      </c>
      <c r="I35">
        <v>-0.58333333333333304</v>
      </c>
      <c r="J35">
        <v>0.62820512820512797</v>
      </c>
      <c r="K35">
        <v>176</v>
      </c>
      <c r="L35" t="s">
        <v>17</v>
      </c>
      <c r="M35">
        <v>-2</v>
      </c>
      <c r="N35">
        <v>0.3</v>
      </c>
      <c r="O35">
        <v>0.5</v>
      </c>
      <c r="P35" t="s">
        <v>18</v>
      </c>
    </row>
    <row r="36" spans="1:16">
      <c r="A36">
        <v>300</v>
      </c>
      <c r="B36" t="s">
        <v>16</v>
      </c>
      <c r="C36">
        <v>1</v>
      </c>
      <c r="D36">
        <v>-14</v>
      </c>
      <c r="E36">
        <v>0.6</v>
      </c>
      <c r="F36" s="1">
        <v>1.0000000000000001E-5</v>
      </c>
      <c r="G36">
        <v>0.108765844150645</v>
      </c>
      <c r="H36">
        <v>9.9295774647887303E-2</v>
      </c>
      <c r="I36">
        <v>-0.51136363636363602</v>
      </c>
      <c r="J36">
        <v>1</v>
      </c>
      <c r="K36">
        <v>176</v>
      </c>
      <c r="L36" t="s">
        <v>17</v>
      </c>
      <c r="M36">
        <v>-2</v>
      </c>
      <c r="N36">
        <v>0.6</v>
      </c>
      <c r="O36">
        <v>0.5</v>
      </c>
      <c r="P36" t="s">
        <v>18</v>
      </c>
    </row>
    <row r="37" spans="1:16">
      <c r="A37">
        <v>300</v>
      </c>
      <c r="B37" t="s">
        <v>16</v>
      </c>
      <c r="C37">
        <v>1</v>
      </c>
      <c r="D37">
        <v>-14</v>
      </c>
      <c r="E37">
        <v>0.9</v>
      </c>
      <c r="F37" s="1">
        <v>1.0000000000000001E-5</v>
      </c>
      <c r="G37">
        <v>0.17448555364516899</v>
      </c>
      <c r="H37">
        <v>0.211017740429505</v>
      </c>
      <c r="I37">
        <v>-0.452380952380952</v>
      </c>
      <c r="J37">
        <v>1</v>
      </c>
      <c r="K37">
        <v>176</v>
      </c>
      <c r="L37" t="s">
        <v>17</v>
      </c>
      <c r="M37">
        <v>-2</v>
      </c>
      <c r="N37">
        <v>0.9</v>
      </c>
      <c r="O37">
        <v>0.5</v>
      </c>
      <c r="P37" t="s">
        <v>18</v>
      </c>
    </row>
    <row r="38" spans="1:16">
      <c r="A38">
        <v>300</v>
      </c>
      <c r="B38" t="s">
        <v>16</v>
      </c>
      <c r="C38">
        <v>1</v>
      </c>
      <c r="D38">
        <v>0</v>
      </c>
      <c r="E38">
        <v>0.3</v>
      </c>
      <c r="F38" s="1">
        <v>1.0000000000000001E-5</v>
      </c>
      <c r="G38">
        <v>-2.4945009057460901E-2</v>
      </c>
      <c r="H38">
        <v>6.0975609756097598E-3</v>
      </c>
      <c r="I38">
        <v>-0.57410714285714304</v>
      </c>
      <c r="J38">
        <v>0.48554376657824799</v>
      </c>
      <c r="K38">
        <v>160</v>
      </c>
      <c r="L38" t="s">
        <v>17</v>
      </c>
      <c r="M38">
        <v>0</v>
      </c>
      <c r="N38">
        <v>0.3</v>
      </c>
      <c r="O38">
        <v>0.5</v>
      </c>
      <c r="P38" t="s">
        <v>18</v>
      </c>
    </row>
    <row r="39" spans="1:16">
      <c r="A39">
        <v>300</v>
      </c>
      <c r="B39" t="s">
        <v>16</v>
      </c>
      <c r="C39">
        <v>1</v>
      </c>
      <c r="D39">
        <v>0</v>
      </c>
      <c r="E39">
        <v>0.6</v>
      </c>
      <c r="F39" s="1">
        <v>1.0000000000000001E-5</v>
      </c>
      <c r="G39">
        <v>9.0480709471943996E-4</v>
      </c>
      <c r="H39">
        <v>0</v>
      </c>
      <c r="I39">
        <v>-0.57142857142857095</v>
      </c>
      <c r="J39">
        <v>0.50277777777777699</v>
      </c>
      <c r="K39">
        <v>160</v>
      </c>
      <c r="L39" t="s">
        <v>17</v>
      </c>
      <c r="M39">
        <v>0</v>
      </c>
      <c r="N39">
        <v>0.6</v>
      </c>
      <c r="O39">
        <v>0.5</v>
      </c>
      <c r="P39" t="s">
        <v>18</v>
      </c>
    </row>
    <row r="40" spans="1:16">
      <c r="A40">
        <v>300</v>
      </c>
      <c r="B40" t="s">
        <v>16</v>
      </c>
      <c r="C40">
        <v>1</v>
      </c>
      <c r="D40">
        <v>0</v>
      </c>
      <c r="E40">
        <v>0.9</v>
      </c>
      <c r="F40" s="1">
        <v>1.0000000000000001E-5</v>
      </c>
      <c r="G40">
        <v>4.8346450563725697E-2</v>
      </c>
      <c r="H40">
        <v>0.113026819923372</v>
      </c>
      <c r="I40">
        <v>-0.57535714285714301</v>
      </c>
      <c r="J40">
        <v>0.50192307692307603</v>
      </c>
      <c r="K40">
        <v>160</v>
      </c>
      <c r="L40" t="s">
        <v>17</v>
      </c>
      <c r="M40">
        <v>0</v>
      </c>
      <c r="N40">
        <v>0.9</v>
      </c>
      <c r="O40">
        <v>0.5</v>
      </c>
      <c r="P40" t="s">
        <v>18</v>
      </c>
    </row>
    <row r="41" spans="1:16">
      <c r="A41">
        <v>300</v>
      </c>
      <c r="B41" t="s">
        <v>16</v>
      </c>
      <c r="C41">
        <v>1</v>
      </c>
      <c r="D41">
        <v>14</v>
      </c>
      <c r="E41">
        <v>0.3</v>
      </c>
      <c r="F41" s="1">
        <v>1.0000000000000001E-5</v>
      </c>
      <c r="G41">
        <v>-2.6658184068502701E-2</v>
      </c>
      <c r="H41">
        <v>8.3333333333333297E-3</v>
      </c>
      <c r="I41">
        <v>-0.58281818181818201</v>
      </c>
      <c r="J41">
        <v>0.40142857142857102</v>
      </c>
      <c r="K41">
        <v>160</v>
      </c>
      <c r="L41" t="s">
        <v>17</v>
      </c>
      <c r="M41">
        <v>2</v>
      </c>
      <c r="N41">
        <v>0.3</v>
      </c>
      <c r="O41">
        <v>0.5</v>
      </c>
      <c r="P41" t="s">
        <v>18</v>
      </c>
    </row>
    <row r="42" spans="1:16">
      <c r="A42">
        <v>300</v>
      </c>
      <c r="B42" t="s">
        <v>16</v>
      </c>
      <c r="C42">
        <v>1</v>
      </c>
      <c r="D42">
        <v>14</v>
      </c>
      <c r="E42">
        <v>0.6</v>
      </c>
      <c r="F42" s="1">
        <v>1.0000000000000001E-5</v>
      </c>
      <c r="G42">
        <v>-3.5856730348522797E-2</v>
      </c>
      <c r="H42">
        <v>0</v>
      </c>
      <c r="I42">
        <v>-0.57213930348258701</v>
      </c>
      <c r="J42">
        <v>0.381135531135531</v>
      </c>
      <c r="K42">
        <v>160</v>
      </c>
      <c r="L42" t="s">
        <v>17</v>
      </c>
      <c r="M42">
        <v>2</v>
      </c>
      <c r="N42">
        <v>0.6</v>
      </c>
      <c r="O42">
        <v>0.5</v>
      </c>
      <c r="P42" t="s">
        <v>18</v>
      </c>
    </row>
    <row r="43" spans="1:16">
      <c r="A43">
        <v>300</v>
      </c>
      <c r="B43" t="s">
        <v>16</v>
      </c>
      <c r="C43">
        <v>1</v>
      </c>
      <c r="D43">
        <v>14</v>
      </c>
      <c r="E43">
        <v>0.9</v>
      </c>
      <c r="F43" s="1">
        <v>1.0000000000000001E-5</v>
      </c>
      <c r="G43">
        <v>2.4172033308151399E-2</v>
      </c>
      <c r="H43">
        <v>7.5378787878787906E-2</v>
      </c>
      <c r="I43">
        <v>-0.58250000000000002</v>
      </c>
      <c r="J43">
        <v>0.44636015325670397</v>
      </c>
      <c r="K43">
        <v>160</v>
      </c>
      <c r="L43" t="s">
        <v>17</v>
      </c>
      <c r="M43">
        <v>2</v>
      </c>
      <c r="N43">
        <v>0.9</v>
      </c>
      <c r="O43">
        <v>0.5</v>
      </c>
      <c r="P43" t="s">
        <v>18</v>
      </c>
    </row>
    <row r="44" spans="1:16">
      <c r="A44">
        <v>300</v>
      </c>
      <c r="B44" t="s">
        <v>16</v>
      </c>
      <c r="C44">
        <v>1</v>
      </c>
      <c r="D44">
        <v>28</v>
      </c>
      <c r="E44">
        <v>0.3</v>
      </c>
      <c r="F44" s="1">
        <v>1.0000000000000001E-5</v>
      </c>
      <c r="G44">
        <v>-8.2042038316742193E-3</v>
      </c>
      <c r="H44">
        <v>0</v>
      </c>
      <c r="I44">
        <v>-0.16702898550724599</v>
      </c>
      <c r="J44">
        <v>0.205197132616487</v>
      </c>
      <c r="K44">
        <v>160</v>
      </c>
      <c r="L44" t="s">
        <v>17</v>
      </c>
      <c r="M44">
        <v>4</v>
      </c>
      <c r="N44">
        <v>0.3</v>
      </c>
      <c r="O44">
        <v>0.5</v>
      </c>
      <c r="P44" t="s">
        <v>18</v>
      </c>
    </row>
    <row r="45" spans="1:16">
      <c r="A45">
        <v>300</v>
      </c>
      <c r="B45" t="s">
        <v>16</v>
      </c>
      <c r="C45">
        <v>1</v>
      </c>
      <c r="D45">
        <v>28</v>
      </c>
      <c r="E45">
        <v>0.6</v>
      </c>
      <c r="F45" s="1">
        <v>1.0000000000000001E-5</v>
      </c>
      <c r="G45">
        <v>-5.5041394375684996E-3</v>
      </c>
      <c r="H45">
        <v>0</v>
      </c>
      <c r="I45">
        <v>-0.27054195804195802</v>
      </c>
      <c r="J45">
        <v>0.16666666666666699</v>
      </c>
      <c r="K45">
        <v>160</v>
      </c>
      <c r="L45" t="s">
        <v>17</v>
      </c>
      <c r="M45">
        <v>4</v>
      </c>
      <c r="N45">
        <v>0.6</v>
      </c>
      <c r="O45">
        <v>0.5</v>
      </c>
      <c r="P45" t="s">
        <v>18</v>
      </c>
    </row>
    <row r="46" spans="1:16">
      <c r="A46">
        <v>300</v>
      </c>
      <c r="B46" t="s">
        <v>16</v>
      </c>
      <c r="C46">
        <v>1</v>
      </c>
      <c r="D46">
        <v>28</v>
      </c>
      <c r="E46">
        <v>0.9</v>
      </c>
      <c r="F46" s="1">
        <v>1.0000000000000001E-5</v>
      </c>
      <c r="G46">
        <v>-4.1614667077664097E-3</v>
      </c>
      <c r="H46">
        <v>0</v>
      </c>
      <c r="I46">
        <v>-0.250462962962963</v>
      </c>
      <c r="J46">
        <v>0.22287581699346401</v>
      </c>
      <c r="K46">
        <v>160</v>
      </c>
      <c r="L46" t="s">
        <v>17</v>
      </c>
      <c r="M46">
        <v>4</v>
      </c>
      <c r="N46">
        <v>0.9</v>
      </c>
      <c r="O46">
        <v>0.5</v>
      </c>
      <c r="P46" t="s">
        <v>18</v>
      </c>
    </row>
    <row r="47" spans="1:16">
      <c r="A47">
        <v>300</v>
      </c>
      <c r="B47" t="s">
        <v>16</v>
      </c>
      <c r="C47">
        <v>1.8</v>
      </c>
      <c r="D47">
        <v>-28</v>
      </c>
      <c r="E47">
        <v>0.3</v>
      </c>
      <c r="F47" s="1">
        <v>1.0000000000000001E-5</v>
      </c>
      <c r="G47">
        <v>-7.0929138802978201E-2</v>
      </c>
      <c r="H47">
        <v>0</v>
      </c>
      <c r="I47">
        <v>-0.79785714285714304</v>
      </c>
      <c r="J47">
        <v>0.40029629629629598</v>
      </c>
      <c r="K47">
        <v>184</v>
      </c>
      <c r="L47" t="s">
        <v>17</v>
      </c>
      <c r="M47">
        <v>-4</v>
      </c>
      <c r="N47">
        <v>0.3</v>
      </c>
      <c r="O47">
        <v>0.7</v>
      </c>
      <c r="P47" t="s">
        <v>18</v>
      </c>
    </row>
    <row r="48" spans="1:16">
      <c r="A48">
        <v>300</v>
      </c>
      <c r="B48" t="s">
        <v>16</v>
      </c>
      <c r="C48">
        <v>1.8</v>
      </c>
      <c r="D48">
        <v>-28</v>
      </c>
      <c r="E48">
        <v>0.6</v>
      </c>
      <c r="F48" s="1">
        <v>1.0000000000000001E-5</v>
      </c>
      <c r="G48">
        <v>8.0392538684743303E-3</v>
      </c>
      <c r="H48">
        <v>1.94247996228194E-2</v>
      </c>
      <c r="I48">
        <v>-0.54722222222222205</v>
      </c>
      <c r="J48">
        <v>0.43437500000000001</v>
      </c>
      <c r="K48">
        <v>184</v>
      </c>
      <c r="L48" t="s">
        <v>17</v>
      </c>
      <c r="M48">
        <v>-4</v>
      </c>
      <c r="N48">
        <v>0.6</v>
      </c>
      <c r="O48">
        <v>0.7</v>
      </c>
      <c r="P48" t="s">
        <v>18</v>
      </c>
    </row>
    <row r="49" spans="1:16">
      <c r="A49">
        <v>300</v>
      </c>
      <c r="B49" t="s">
        <v>16</v>
      </c>
      <c r="C49">
        <v>1.8</v>
      </c>
      <c r="D49">
        <v>-28</v>
      </c>
      <c r="E49">
        <v>0.9</v>
      </c>
      <c r="F49" s="1">
        <v>1.0000000000000001E-5</v>
      </c>
      <c r="G49">
        <v>0.12429618991369</v>
      </c>
      <c r="H49">
        <v>0.14680134680134699</v>
      </c>
      <c r="I49">
        <v>-0.456666666666667</v>
      </c>
      <c r="J49">
        <v>0.73295454545454497</v>
      </c>
      <c r="K49">
        <v>184</v>
      </c>
      <c r="L49" t="s">
        <v>17</v>
      </c>
      <c r="M49">
        <v>-4</v>
      </c>
      <c r="N49">
        <v>0.9</v>
      </c>
      <c r="O49">
        <v>0.7</v>
      </c>
      <c r="P49" t="s">
        <v>18</v>
      </c>
    </row>
    <row r="50" spans="1:16">
      <c r="A50">
        <v>300</v>
      </c>
      <c r="B50" t="s">
        <v>16</v>
      </c>
      <c r="C50">
        <v>1.8</v>
      </c>
      <c r="D50">
        <v>-14</v>
      </c>
      <c r="E50">
        <v>0.3</v>
      </c>
      <c r="F50" s="1">
        <v>1.0000000000000001E-5</v>
      </c>
      <c r="G50">
        <v>-9.8443893346022396E-2</v>
      </c>
      <c r="H50">
        <v>0</v>
      </c>
      <c r="I50">
        <v>-0.69761904761904803</v>
      </c>
      <c r="J50">
        <v>0.4325</v>
      </c>
      <c r="K50">
        <v>188</v>
      </c>
      <c r="L50" t="s">
        <v>17</v>
      </c>
      <c r="M50">
        <v>-2</v>
      </c>
      <c r="N50">
        <v>0.3</v>
      </c>
      <c r="O50">
        <v>0.7</v>
      </c>
      <c r="P50" t="s">
        <v>18</v>
      </c>
    </row>
    <row r="51" spans="1:16">
      <c r="A51">
        <v>300</v>
      </c>
      <c r="B51" t="s">
        <v>16</v>
      </c>
      <c r="C51">
        <v>1.8</v>
      </c>
      <c r="D51">
        <v>-14</v>
      </c>
      <c r="E51">
        <v>0.6</v>
      </c>
      <c r="F51" s="1">
        <v>1.0000000000000001E-5</v>
      </c>
      <c r="G51">
        <v>-8.5700242280953104E-2</v>
      </c>
      <c r="H51">
        <v>0</v>
      </c>
      <c r="I51">
        <v>-0.65208333333333302</v>
      </c>
      <c r="J51">
        <v>0.43166666666666698</v>
      </c>
      <c r="K51">
        <v>188</v>
      </c>
      <c r="L51" t="s">
        <v>17</v>
      </c>
      <c r="M51">
        <v>-2</v>
      </c>
      <c r="N51">
        <v>0.6</v>
      </c>
      <c r="O51">
        <v>0.7</v>
      </c>
      <c r="P51" t="s">
        <v>18</v>
      </c>
    </row>
    <row r="52" spans="1:16">
      <c r="A52">
        <v>300</v>
      </c>
      <c r="B52" t="s">
        <v>16</v>
      </c>
      <c r="C52">
        <v>1.8</v>
      </c>
      <c r="D52">
        <v>-14</v>
      </c>
      <c r="E52">
        <v>0.9</v>
      </c>
      <c r="F52" s="1">
        <v>1.0000000000000001E-5</v>
      </c>
      <c r="G52">
        <v>4.6726328430729699E-2</v>
      </c>
      <c r="H52">
        <v>0.102207977207977</v>
      </c>
      <c r="I52">
        <v>-0.52631578947368396</v>
      </c>
      <c r="J52">
        <v>0.48653846153846197</v>
      </c>
      <c r="K52">
        <v>188</v>
      </c>
      <c r="L52" t="s">
        <v>17</v>
      </c>
      <c r="M52">
        <v>-2</v>
      </c>
      <c r="N52">
        <v>0.9</v>
      </c>
      <c r="O52">
        <v>0.7</v>
      </c>
      <c r="P52" t="s">
        <v>18</v>
      </c>
    </row>
    <row r="53" spans="1:16">
      <c r="A53">
        <v>300</v>
      </c>
      <c r="B53" t="s">
        <v>16</v>
      </c>
      <c r="C53">
        <v>1.8</v>
      </c>
      <c r="D53">
        <v>0</v>
      </c>
      <c r="E53">
        <v>0.3</v>
      </c>
      <c r="F53" s="1">
        <v>1.0000000000000001E-5</v>
      </c>
      <c r="G53">
        <v>-0.105949427141974</v>
      </c>
      <c r="H53">
        <v>-4.3478260869565202E-2</v>
      </c>
      <c r="I53">
        <v>-0.93</v>
      </c>
      <c r="J53">
        <v>0.328666666666667</v>
      </c>
      <c r="K53">
        <v>188</v>
      </c>
      <c r="L53" t="s">
        <v>17</v>
      </c>
      <c r="M53">
        <v>0</v>
      </c>
      <c r="N53">
        <v>0.3</v>
      </c>
      <c r="O53">
        <v>0.7</v>
      </c>
      <c r="P53" t="s">
        <v>18</v>
      </c>
    </row>
    <row r="54" spans="1:16">
      <c r="A54">
        <v>300</v>
      </c>
      <c r="B54" t="s">
        <v>16</v>
      </c>
      <c r="C54">
        <v>1.8</v>
      </c>
      <c r="D54">
        <v>0</v>
      </c>
      <c r="E54">
        <v>0.6</v>
      </c>
      <c r="F54" s="1">
        <v>1.0000000000000001E-5</v>
      </c>
      <c r="G54">
        <v>-8.9181952786902802E-2</v>
      </c>
      <c r="H54">
        <v>-1.71714244312418E-2</v>
      </c>
      <c r="I54">
        <v>-0.75</v>
      </c>
      <c r="J54">
        <v>0.32719298245613998</v>
      </c>
      <c r="K54">
        <v>188</v>
      </c>
      <c r="L54" t="s">
        <v>17</v>
      </c>
      <c r="M54">
        <v>0</v>
      </c>
      <c r="N54">
        <v>0.6</v>
      </c>
      <c r="O54">
        <v>0.7</v>
      </c>
      <c r="P54" t="s">
        <v>18</v>
      </c>
    </row>
    <row r="55" spans="1:16">
      <c r="A55">
        <v>300</v>
      </c>
      <c r="B55" t="s">
        <v>16</v>
      </c>
      <c r="C55">
        <v>1.8</v>
      </c>
      <c r="D55">
        <v>0</v>
      </c>
      <c r="E55">
        <v>0.9</v>
      </c>
      <c r="F55" s="1">
        <v>1.0000000000000001E-5</v>
      </c>
      <c r="G55">
        <v>-6.5247712744052597E-2</v>
      </c>
      <c r="H55">
        <v>3.9025318865410198E-2</v>
      </c>
      <c r="I55">
        <v>-0.73750000000000004</v>
      </c>
      <c r="J55">
        <v>0.322455197132617</v>
      </c>
      <c r="K55">
        <v>188</v>
      </c>
      <c r="L55" t="s">
        <v>17</v>
      </c>
      <c r="M55">
        <v>0</v>
      </c>
      <c r="N55">
        <v>0.9</v>
      </c>
      <c r="O55">
        <v>0.7</v>
      </c>
      <c r="P55" t="s">
        <v>18</v>
      </c>
    </row>
    <row r="56" spans="1:16">
      <c r="A56">
        <v>300</v>
      </c>
      <c r="B56" t="s">
        <v>16</v>
      </c>
      <c r="C56">
        <v>1.8</v>
      </c>
      <c r="D56">
        <v>14</v>
      </c>
      <c r="E56">
        <v>0.3</v>
      </c>
      <c r="F56" s="1">
        <v>1.0000000000000001E-5</v>
      </c>
      <c r="G56">
        <v>-5.4230473420577102E-2</v>
      </c>
      <c r="H56">
        <v>-5.31914893617021E-3</v>
      </c>
      <c r="I56">
        <v>-0.56499999999999995</v>
      </c>
      <c r="J56">
        <v>0.257065217391304</v>
      </c>
      <c r="K56">
        <v>188</v>
      </c>
      <c r="L56" t="s">
        <v>17</v>
      </c>
      <c r="M56">
        <v>2</v>
      </c>
      <c r="N56">
        <v>0.3</v>
      </c>
      <c r="O56">
        <v>0.7</v>
      </c>
      <c r="P56" t="s">
        <v>18</v>
      </c>
    </row>
    <row r="57" spans="1:16">
      <c r="A57">
        <v>300</v>
      </c>
      <c r="B57" t="s">
        <v>16</v>
      </c>
      <c r="C57">
        <v>1.8</v>
      </c>
      <c r="D57">
        <v>14</v>
      </c>
      <c r="E57">
        <v>0.6</v>
      </c>
      <c r="F57" s="1">
        <v>1.0000000000000001E-5</v>
      </c>
      <c r="G57">
        <v>-5.48292546273874E-2</v>
      </c>
      <c r="H57">
        <v>0</v>
      </c>
      <c r="I57">
        <v>-0.51300000000000001</v>
      </c>
      <c r="J57">
        <v>0.32435897435897498</v>
      </c>
      <c r="K57">
        <v>188</v>
      </c>
      <c r="L57" t="s">
        <v>17</v>
      </c>
      <c r="M57">
        <v>2</v>
      </c>
      <c r="N57">
        <v>0.6</v>
      </c>
      <c r="O57">
        <v>0.7</v>
      </c>
      <c r="P57" t="s">
        <v>18</v>
      </c>
    </row>
    <row r="58" spans="1:16">
      <c r="A58">
        <v>300</v>
      </c>
      <c r="B58" t="s">
        <v>16</v>
      </c>
      <c r="C58">
        <v>1.8</v>
      </c>
      <c r="D58">
        <v>14</v>
      </c>
      <c r="E58">
        <v>0.9</v>
      </c>
      <c r="F58" s="1">
        <v>1.0000000000000001E-5</v>
      </c>
      <c r="G58">
        <v>-2.69534775771329E-2</v>
      </c>
      <c r="H58">
        <v>0</v>
      </c>
      <c r="I58">
        <v>-0.485416666666667</v>
      </c>
      <c r="J58">
        <v>0.39124999999999999</v>
      </c>
      <c r="K58">
        <v>188</v>
      </c>
      <c r="L58" t="s">
        <v>17</v>
      </c>
      <c r="M58">
        <v>2</v>
      </c>
      <c r="N58">
        <v>0.9</v>
      </c>
      <c r="O58">
        <v>0.7</v>
      </c>
      <c r="P58" t="s">
        <v>18</v>
      </c>
    </row>
    <row r="59" spans="1:16">
      <c r="A59">
        <v>300</v>
      </c>
      <c r="B59" t="s">
        <v>16</v>
      </c>
      <c r="C59">
        <v>1.8</v>
      </c>
      <c r="D59">
        <v>28</v>
      </c>
      <c r="E59">
        <v>0.3</v>
      </c>
      <c r="F59" s="1">
        <v>1.0000000000000001E-5</v>
      </c>
      <c r="G59">
        <v>1.99068145259336E-4</v>
      </c>
      <c r="H59">
        <v>0</v>
      </c>
      <c r="I59">
        <v>0</v>
      </c>
      <c r="J59">
        <v>0</v>
      </c>
      <c r="K59">
        <v>188</v>
      </c>
      <c r="L59" t="s">
        <v>17</v>
      </c>
      <c r="M59">
        <v>4</v>
      </c>
      <c r="N59">
        <v>0.3</v>
      </c>
      <c r="O59">
        <v>0.7</v>
      </c>
      <c r="P59" t="s">
        <v>18</v>
      </c>
    </row>
    <row r="60" spans="1:16">
      <c r="A60">
        <v>300</v>
      </c>
      <c r="B60" t="s">
        <v>16</v>
      </c>
      <c r="C60">
        <v>1.8</v>
      </c>
      <c r="D60">
        <v>28</v>
      </c>
      <c r="E60">
        <v>0.6</v>
      </c>
      <c r="F60" s="1">
        <v>1.0000000000000001E-5</v>
      </c>
      <c r="G60">
        <v>5.8558729303284304E-4</v>
      </c>
      <c r="H60">
        <v>0</v>
      </c>
      <c r="I60">
        <v>-9.3925619834710795E-3</v>
      </c>
      <c r="J60">
        <v>0</v>
      </c>
      <c r="K60">
        <v>188</v>
      </c>
      <c r="L60" t="s">
        <v>17</v>
      </c>
      <c r="M60">
        <v>4</v>
      </c>
      <c r="N60">
        <v>0.6</v>
      </c>
      <c r="O60">
        <v>0.7</v>
      </c>
      <c r="P60" t="s">
        <v>18</v>
      </c>
    </row>
    <row r="61" spans="1:16">
      <c r="A61">
        <v>300</v>
      </c>
      <c r="B61" t="s">
        <v>16</v>
      </c>
      <c r="C61">
        <v>1.8</v>
      </c>
      <c r="D61">
        <v>28</v>
      </c>
      <c r="E61">
        <v>0.9</v>
      </c>
      <c r="F61" s="1">
        <v>1.0000000000000001E-5</v>
      </c>
      <c r="G61">
        <v>2.0726908136746102E-3</v>
      </c>
      <c r="H61">
        <v>0</v>
      </c>
      <c r="I61">
        <v>-1.4146825396825401E-2</v>
      </c>
      <c r="J61">
        <v>6.9148936170213404E-3</v>
      </c>
      <c r="K61">
        <v>188</v>
      </c>
      <c r="L61" t="s">
        <v>17</v>
      </c>
      <c r="M61">
        <v>4</v>
      </c>
      <c r="N61">
        <v>0.9</v>
      </c>
      <c r="O61">
        <v>0.7</v>
      </c>
      <c r="P61" t="s">
        <v>18</v>
      </c>
    </row>
    <row r="62" spans="1:16">
      <c r="A62">
        <v>600</v>
      </c>
      <c r="B62" t="s">
        <v>16</v>
      </c>
      <c r="C62">
        <v>1</v>
      </c>
      <c r="D62">
        <v>-28</v>
      </c>
      <c r="E62">
        <v>0.3</v>
      </c>
      <c r="F62" s="1">
        <v>1.0000000000000001E-5</v>
      </c>
      <c r="G62">
        <v>5.0290337473794001E-2</v>
      </c>
      <c r="H62">
        <v>6.7682088868529597E-2</v>
      </c>
      <c r="I62">
        <v>-0.5</v>
      </c>
      <c r="J62">
        <v>0.81666666666666299</v>
      </c>
      <c r="K62">
        <v>152</v>
      </c>
      <c r="L62" t="s">
        <v>17</v>
      </c>
      <c r="M62">
        <v>-4</v>
      </c>
      <c r="N62">
        <v>0.3</v>
      </c>
      <c r="O62">
        <v>0.5</v>
      </c>
      <c r="P62" t="s">
        <v>18</v>
      </c>
    </row>
    <row r="63" spans="1:16">
      <c r="A63">
        <v>600</v>
      </c>
      <c r="B63" t="s">
        <v>16</v>
      </c>
      <c r="C63">
        <v>1</v>
      </c>
      <c r="D63">
        <v>-28</v>
      </c>
      <c r="E63">
        <v>0.6</v>
      </c>
      <c r="F63" s="1">
        <v>1.0000000000000001E-5</v>
      </c>
      <c r="G63">
        <v>0.202546987113116</v>
      </c>
      <c r="H63">
        <v>0.201010101010101</v>
      </c>
      <c r="I63">
        <v>-0.52884615384615397</v>
      </c>
      <c r="J63">
        <v>1</v>
      </c>
      <c r="K63">
        <v>152</v>
      </c>
      <c r="L63" t="s">
        <v>17</v>
      </c>
      <c r="M63">
        <v>-4</v>
      </c>
      <c r="N63">
        <v>0.6</v>
      </c>
      <c r="O63">
        <v>0.5</v>
      </c>
      <c r="P63" t="s">
        <v>18</v>
      </c>
    </row>
    <row r="64" spans="1:16">
      <c r="A64">
        <v>600</v>
      </c>
      <c r="B64" t="s">
        <v>16</v>
      </c>
      <c r="C64">
        <v>1</v>
      </c>
      <c r="D64">
        <v>-28</v>
      </c>
      <c r="E64">
        <v>0.9</v>
      </c>
      <c r="F64" s="1">
        <v>1.0000000000000001E-5</v>
      </c>
      <c r="G64">
        <v>0.45092438915279898</v>
      </c>
      <c r="H64">
        <v>0.42705167173252301</v>
      </c>
      <c r="I64">
        <v>-6.9856459330143506E-2</v>
      </c>
      <c r="J64">
        <v>1</v>
      </c>
      <c r="K64">
        <v>152</v>
      </c>
      <c r="L64" t="s">
        <v>17</v>
      </c>
      <c r="M64">
        <v>-4</v>
      </c>
      <c r="N64">
        <v>0.9</v>
      </c>
      <c r="O64">
        <v>0.5</v>
      </c>
      <c r="P64" t="s">
        <v>18</v>
      </c>
    </row>
    <row r="65" spans="1:16">
      <c r="A65">
        <v>600</v>
      </c>
      <c r="B65" t="s">
        <v>16</v>
      </c>
      <c r="C65">
        <v>1</v>
      </c>
      <c r="D65">
        <v>-14</v>
      </c>
      <c r="E65">
        <v>0.3</v>
      </c>
      <c r="F65" s="1">
        <v>1.0000000000000001E-5</v>
      </c>
      <c r="G65">
        <v>3.4993435217366702E-3</v>
      </c>
      <c r="H65">
        <v>3.6774628879892003E-2</v>
      </c>
      <c r="I65">
        <v>-0.58482142857142905</v>
      </c>
      <c r="J65">
        <v>0.47115384615384598</v>
      </c>
      <c r="K65">
        <v>176</v>
      </c>
      <c r="L65" t="s">
        <v>17</v>
      </c>
      <c r="M65">
        <v>-2</v>
      </c>
      <c r="N65">
        <v>0.3</v>
      </c>
      <c r="O65">
        <v>0.5</v>
      </c>
      <c r="P65" t="s">
        <v>18</v>
      </c>
    </row>
    <row r="66" spans="1:16">
      <c r="A66">
        <v>600</v>
      </c>
      <c r="B66" t="s">
        <v>16</v>
      </c>
      <c r="C66">
        <v>1</v>
      </c>
      <c r="D66">
        <v>-14</v>
      </c>
      <c r="E66">
        <v>0.6</v>
      </c>
      <c r="F66" s="1">
        <v>1.0000000000000001E-5</v>
      </c>
      <c r="G66">
        <v>0.10872319134478001</v>
      </c>
      <c r="H66">
        <v>0.12701612903225801</v>
      </c>
      <c r="I66">
        <v>-0.38095238095238099</v>
      </c>
      <c r="J66">
        <v>0.59134615384615397</v>
      </c>
      <c r="K66">
        <v>176</v>
      </c>
      <c r="L66" t="s">
        <v>17</v>
      </c>
      <c r="M66">
        <v>-2</v>
      </c>
      <c r="N66">
        <v>0.6</v>
      </c>
      <c r="O66">
        <v>0.5</v>
      </c>
      <c r="P66" t="s">
        <v>18</v>
      </c>
    </row>
    <row r="67" spans="1:16">
      <c r="A67">
        <v>600</v>
      </c>
      <c r="B67" t="s">
        <v>16</v>
      </c>
      <c r="C67">
        <v>1</v>
      </c>
      <c r="D67">
        <v>-14</v>
      </c>
      <c r="E67">
        <v>0.9</v>
      </c>
      <c r="F67" s="1">
        <v>1.0000000000000001E-5</v>
      </c>
      <c r="G67">
        <v>0.38126482882365897</v>
      </c>
      <c r="H67">
        <v>0.35982142857142901</v>
      </c>
      <c r="I67">
        <v>-0.247899159663866</v>
      </c>
      <c r="J67">
        <v>1</v>
      </c>
      <c r="K67">
        <v>176</v>
      </c>
      <c r="L67" t="s">
        <v>17</v>
      </c>
      <c r="M67">
        <v>-2</v>
      </c>
      <c r="N67">
        <v>0.9</v>
      </c>
      <c r="O67">
        <v>0.5</v>
      </c>
      <c r="P67" t="s">
        <v>18</v>
      </c>
    </row>
    <row r="68" spans="1:16">
      <c r="A68">
        <v>600</v>
      </c>
      <c r="B68" t="s">
        <v>16</v>
      </c>
      <c r="C68">
        <v>1</v>
      </c>
      <c r="D68">
        <v>0</v>
      </c>
      <c r="E68">
        <v>0.3</v>
      </c>
      <c r="F68" s="1">
        <v>1.0000000000000001E-5</v>
      </c>
      <c r="G68">
        <v>-3.3789905139808701E-2</v>
      </c>
      <c r="H68">
        <v>1.53991945036721E-2</v>
      </c>
      <c r="I68">
        <v>-0.61350806451612905</v>
      </c>
      <c r="J68">
        <v>0.60055555555555495</v>
      </c>
      <c r="K68">
        <v>160</v>
      </c>
      <c r="L68" t="s">
        <v>17</v>
      </c>
      <c r="M68">
        <v>0</v>
      </c>
      <c r="N68">
        <v>0.3</v>
      </c>
      <c r="O68">
        <v>0.5</v>
      </c>
      <c r="P68" t="s">
        <v>18</v>
      </c>
    </row>
    <row r="69" spans="1:16">
      <c r="A69">
        <v>600</v>
      </c>
      <c r="B69" t="s">
        <v>16</v>
      </c>
      <c r="C69">
        <v>1</v>
      </c>
      <c r="D69">
        <v>0</v>
      </c>
      <c r="E69">
        <v>0.6</v>
      </c>
      <c r="F69" s="1">
        <v>1.0000000000000001E-5</v>
      </c>
      <c r="G69">
        <v>3.5790496377392498E-3</v>
      </c>
      <c r="H69">
        <v>4.11036036036036E-2</v>
      </c>
      <c r="I69">
        <v>-0.58387096774193603</v>
      </c>
      <c r="J69">
        <v>0.44529914529914499</v>
      </c>
      <c r="K69">
        <v>160</v>
      </c>
      <c r="L69" t="s">
        <v>17</v>
      </c>
      <c r="M69">
        <v>0</v>
      </c>
      <c r="N69">
        <v>0.6</v>
      </c>
      <c r="O69">
        <v>0.5</v>
      </c>
      <c r="P69" t="s">
        <v>18</v>
      </c>
    </row>
    <row r="70" spans="1:16">
      <c r="A70">
        <v>600</v>
      </c>
      <c r="B70" t="s">
        <v>16</v>
      </c>
      <c r="C70">
        <v>1</v>
      </c>
      <c r="D70">
        <v>0</v>
      </c>
      <c r="E70">
        <v>0.9</v>
      </c>
      <c r="F70" s="1">
        <v>1.0000000000000001E-5</v>
      </c>
      <c r="G70">
        <v>0.14388696420355801</v>
      </c>
      <c r="H70">
        <v>0.16542288557213899</v>
      </c>
      <c r="I70">
        <v>-0.33541666666666697</v>
      </c>
      <c r="J70">
        <v>0.55634920634920604</v>
      </c>
      <c r="K70">
        <v>160</v>
      </c>
      <c r="L70" t="s">
        <v>17</v>
      </c>
      <c r="M70">
        <v>0</v>
      </c>
      <c r="N70">
        <v>0.9</v>
      </c>
      <c r="O70">
        <v>0.5</v>
      </c>
      <c r="P70" t="s">
        <v>18</v>
      </c>
    </row>
    <row r="71" spans="1:16">
      <c r="A71">
        <v>600</v>
      </c>
      <c r="B71" t="s">
        <v>16</v>
      </c>
      <c r="C71">
        <v>1</v>
      </c>
      <c r="D71">
        <v>14</v>
      </c>
      <c r="E71">
        <v>0.3</v>
      </c>
      <c r="F71" s="1">
        <v>1.0000000000000001E-5</v>
      </c>
      <c r="G71">
        <v>-6.5493756808049197E-2</v>
      </c>
      <c r="H71">
        <v>-2.3392612859097099E-2</v>
      </c>
      <c r="I71">
        <v>-0.67696428571428602</v>
      </c>
      <c r="J71">
        <v>0.46346153846153798</v>
      </c>
      <c r="K71">
        <v>160</v>
      </c>
      <c r="L71" t="s">
        <v>17</v>
      </c>
      <c r="M71">
        <v>2</v>
      </c>
      <c r="N71">
        <v>0.3</v>
      </c>
      <c r="O71">
        <v>0.5</v>
      </c>
      <c r="P71" t="s">
        <v>18</v>
      </c>
    </row>
    <row r="72" spans="1:16">
      <c r="A72">
        <v>600</v>
      </c>
      <c r="B72" t="s">
        <v>16</v>
      </c>
      <c r="C72">
        <v>1</v>
      </c>
      <c r="D72">
        <v>14</v>
      </c>
      <c r="E72">
        <v>0.6</v>
      </c>
      <c r="F72" s="1">
        <v>1.0000000000000001E-5</v>
      </c>
      <c r="G72">
        <v>-3.7074716907358203E-2</v>
      </c>
      <c r="H72">
        <v>2.2224966045190801E-2</v>
      </c>
      <c r="I72">
        <v>-0.55634920634920604</v>
      </c>
      <c r="J72">
        <v>0.42936507936507901</v>
      </c>
      <c r="K72">
        <v>160</v>
      </c>
      <c r="L72" t="s">
        <v>17</v>
      </c>
      <c r="M72">
        <v>2</v>
      </c>
      <c r="N72">
        <v>0.6</v>
      </c>
      <c r="O72">
        <v>0.5</v>
      </c>
      <c r="P72" t="s">
        <v>18</v>
      </c>
    </row>
    <row r="73" spans="1:16">
      <c r="A73">
        <v>600</v>
      </c>
      <c r="B73" t="s">
        <v>16</v>
      </c>
      <c r="C73">
        <v>1</v>
      </c>
      <c r="D73">
        <v>14</v>
      </c>
      <c r="E73">
        <v>0.9</v>
      </c>
      <c r="F73" s="1">
        <v>1.0000000000000001E-5</v>
      </c>
      <c r="G73">
        <v>5.5584170120127001E-2</v>
      </c>
      <c r="H73">
        <v>0.102631578947368</v>
      </c>
      <c r="I73">
        <v>-0.54953917050691203</v>
      </c>
      <c r="J73">
        <v>0.50192307692307603</v>
      </c>
      <c r="K73">
        <v>160</v>
      </c>
      <c r="L73" t="s">
        <v>17</v>
      </c>
      <c r="M73">
        <v>2</v>
      </c>
      <c r="N73">
        <v>0.9</v>
      </c>
      <c r="O73">
        <v>0.5</v>
      </c>
      <c r="P73" t="s">
        <v>18</v>
      </c>
    </row>
    <row r="74" spans="1:16">
      <c r="A74">
        <v>600</v>
      </c>
      <c r="B74" t="s">
        <v>16</v>
      </c>
      <c r="C74">
        <v>1</v>
      </c>
      <c r="D74">
        <v>28</v>
      </c>
      <c r="E74">
        <v>0.3</v>
      </c>
      <c r="F74" s="1">
        <v>1.0000000000000001E-5</v>
      </c>
      <c r="G74">
        <v>-1.2918745913095299E-3</v>
      </c>
      <c r="H74">
        <v>0</v>
      </c>
      <c r="I74">
        <v>-0.20809018567639301</v>
      </c>
      <c r="J74">
        <v>0.149822695035461</v>
      </c>
      <c r="K74">
        <v>160</v>
      </c>
      <c r="L74" t="s">
        <v>17</v>
      </c>
      <c r="M74">
        <v>4</v>
      </c>
      <c r="N74">
        <v>0.3</v>
      </c>
      <c r="O74">
        <v>0.5</v>
      </c>
      <c r="P74" t="s">
        <v>18</v>
      </c>
    </row>
    <row r="75" spans="1:16">
      <c r="A75">
        <v>600</v>
      </c>
      <c r="B75" t="s">
        <v>16</v>
      </c>
      <c r="C75">
        <v>1</v>
      </c>
      <c r="D75">
        <v>28</v>
      </c>
      <c r="E75">
        <v>0.6</v>
      </c>
      <c r="F75" s="1">
        <v>1.0000000000000001E-5</v>
      </c>
      <c r="G75">
        <v>-1.2917578159094599E-2</v>
      </c>
      <c r="H75">
        <v>0</v>
      </c>
      <c r="I75">
        <v>-0.22587976539589399</v>
      </c>
      <c r="J75">
        <v>0.18548474945533799</v>
      </c>
      <c r="K75">
        <v>160</v>
      </c>
      <c r="L75" t="s">
        <v>17</v>
      </c>
      <c r="M75">
        <v>4</v>
      </c>
      <c r="N75">
        <v>0.6</v>
      </c>
      <c r="O75">
        <v>0.5</v>
      </c>
      <c r="P75" t="s">
        <v>18</v>
      </c>
    </row>
    <row r="76" spans="1:16">
      <c r="A76">
        <v>600</v>
      </c>
      <c r="B76" t="s">
        <v>16</v>
      </c>
      <c r="C76">
        <v>1</v>
      </c>
      <c r="D76">
        <v>28</v>
      </c>
      <c r="E76">
        <v>0.9</v>
      </c>
      <c r="F76" s="1">
        <v>1.0000000000000001E-5</v>
      </c>
      <c r="G76">
        <v>1.3111224108135301E-2</v>
      </c>
      <c r="H76">
        <v>0</v>
      </c>
      <c r="I76">
        <v>-0.25</v>
      </c>
      <c r="J76">
        <v>0.20831643002028299</v>
      </c>
      <c r="K76">
        <v>160</v>
      </c>
      <c r="L76" t="s">
        <v>17</v>
      </c>
      <c r="M76">
        <v>4</v>
      </c>
      <c r="N76">
        <v>0.9</v>
      </c>
      <c r="O76">
        <v>0.5</v>
      </c>
      <c r="P76" t="s">
        <v>18</v>
      </c>
    </row>
    <row r="77" spans="1:16">
      <c r="A77">
        <v>600</v>
      </c>
      <c r="B77" t="s">
        <v>16</v>
      </c>
      <c r="C77">
        <v>1.8</v>
      </c>
      <c r="D77">
        <v>-28</v>
      </c>
      <c r="E77">
        <v>0.3</v>
      </c>
      <c r="F77" s="1">
        <v>1.0000000000000001E-5</v>
      </c>
      <c r="G77">
        <v>-5.7730974414074702E-2</v>
      </c>
      <c r="H77">
        <v>-8.9031339031338998E-3</v>
      </c>
      <c r="I77">
        <v>-0.66666666666666696</v>
      </c>
      <c r="J77">
        <v>0.36551282051282002</v>
      </c>
      <c r="K77">
        <v>184</v>
      </c>
      <c r="L77" t="s">
        <v>17</v>
      </c>
      <c r="M77">
        <v>-4</v>
      </c>
      <c r="N77">
        <v>0.3</v>
      </c>
      <c r="O77">
        <v>0.7</v>
      </c>
      <c r="P77" t="s">
        <v>18</v>
      </c>
    </row>
    <row r="78" spans="1:16">
      <c r="A78">
        <v>600</v>
      </c>
      <c r="B78" t="s">
        <v>16</v>
      </c>
      <c r="C78">
        <v>1.8</v>
      </c>
      <c r="D78">
        <v>-28</v>
      </c>
      <c r="E78">
        <v>0.6</v>
      </c>
      <c r="F78" s="1">
        <v>1.0000000000000001E-5</v>
      </c>
      <c r="G78">
        <v>1.9417547699603601E-2</v>
      </c>
      <c r="H78">
        <v>5.4767239233258699E-2</v>
      </c>
      <c r="I78">
        <v>-0.55555555555555602</v>
      </c>
      <c r="J78">
        <v>0.5</v>
      </c>
      <c r="K78">
        <v>184</v>
      </c>
      <c r="L78" t="s">
        <v>17</v>
      </c>
      <c r="M78">
        <v>-4</v>
      </c>
      <c r="N78">
        <v>0.6</v>
      </c>
      <c r="O78">
        <v>0.7</v>
      </c>
      <c r="P78" t="s">
        <v>18</v>
      </c>
    </row>
    <row r="79" spans="1:16">
      <c r="A79">
        <v>600</v>
      </c>
      <c r="B79" t="s">
        <v>16</v>
      </c>
      <c r="C79">
        <v>1.8</v>
      </c>
      <c r="D79">
        <v>-28</v>
      </c>
      <c r="E79">
        <v>0.9</v>
      </c>
      <c r="F79" s="1">
        <v>1.0000000000000001E-5</v>
      </c>
      <c r="G79">
        <v>0.25811837340021798</v>
      </c>
      <c r="H79">
        <v>0.29166666666666702</v>
      </c>
      <c r="I79">
        <v>-0.330701754385965</v>
      </c>
      <c r="J79">
        <v>0.76923076923076905</v>
      </c>
      <c r="K79">
        <v>184</v>
      </c>
      <c r="L79" t="s">
        <v>17</v>
      </c>
      <c r="M79">
        <v>-4</v>
      </c>
      <c r="N79">
        <v>0.9</v>
      </c>
      <c r="O79">
        <v>0.7</v>
      </c>
      <c r="P79" t="s">
        <v>18</v>
      </c>
    </row>
    <row r="80" spans="1:16">
      <c r="A80">
        <v>600</v>
      </c>
      <c r="B80" t="s">
        <v>16</v>
      </c>
      <c r="C80">
        <v>1.8</v>
      </c>
      <c r="D80">
        <v>-14</v>
      </c>
      <c r="E80">
        <v>0.3</v>
      </c>
      <c r="F80" s="1">
        <v>1.0000000000000001E-5</v>
      </c>
      <c r="G80">
        <v>-6.3910667764940907E-2</v>
      </c>
      <c r="H80">
        <v>0</v>
      </c>
      <c r="I80">
        <v>-0.78249999999999997</v>
      </c>
      <c r="J80">
        <v>0.46487179487179497</v>
      </c>
      <c r="K80">
        <v>188</v>
      </c>
      <c r="L80" t="s">
        <v>17</v>
      </c>
      <c r="M80">
        <v>-2</v>
      </c>
      <c r="N80">
        <v>0.3</v>
      </c>
      <c r="O80">
        <v>0.7</v>
      </c>
      <c r="P80" t="s">
        <v>18</v>
      </c>
    </row>
    <row r="81" spans="1:16">
      <c r="A81">
        <v>600</v>
      </c>
      <c r="B81" t="s">
        <v>16</v>
      </c>
      <c r="C81">
        <v>1.8</v>
      </c>
      <c r="D81">
        <v>-14</v>
      </c>
      <c r="E81">
        <v>0.6</v>
      </c>
      <c r="F81" s="1">
        <v>1.0000000000000001E-5</v>
      </c>
      <c r="G81">
        <v>-3.0479157551881599E-2</v>
      </c>
      <c r="H81">
        <v>4.0028464685998903E-2</v>
      </c>
      <c r="I81">
        <v>-0.66666666666666696</v>
      </c>
      <c r="J81">
        <v>0.46153846153846201</v>
      </c>
      <c r="K81">
        <v>188</v>
      </c>
      <c r="L81" t="s">
        <v>17</v>
      </c>
      <c r="M81">
        <v>-2</v>
      </c>
      <c r="N81">
        <v>0.6</v>
      </c>
      <c r="O81">
        <v>0.7</v>
      </c>
      <c r="P81" t="s">
        <v>18</v>
      </c>
    </row>
    <row r="82" spans="1:16">
      <c r="A82">
        <v>600</v>
      </c>
      <c r="B82" t="s">
        <v>16</v>
      </c>
      <c r="C82">
        <v>1.8</v>
      </c>
      <c r="D82">
        <v>-14</v>
      </c>
      <c r="E82">
        <v>0.9</v>
      </c>
      <c r="F82" s="1">
        <v>1.0000000000000001E-5</v>
      </c>
      <c r="G82">
        <v>0.19168072429969801</v>
      </c>
      <c r="H82">
        <v>0.207111436950147</v>
      </c>
      <c r="I82">
        <v>-0.46539473684210497</v>
      </c>
      <c r="J82">
        <v>1</v>
      </c>
      <c r="K82">
        <v>188</v>
      </c>
      <c r="L82" t="s">
        <v>17</v>
      </c>
      <c r="M82">
        <v>-2</v>
      </c>
      <c r="N82">
        <v>0.9</v>
      </c>
      <c r="O82">
        <v>0.7</v>
      </c>
      <c r="P82" t="s">
        <v>18</v>
      </c>
    </row>
    <row r="83" spans="1:16">
      <c r="A83">
        <v>600</v>
      </c>
      <c r="B83" t="s">
        <v>16</v>
      </c>
      <c r="C83">
        <v>1.8</v>
      </c>
      <c r="D83">
        <v>0</v>
      </c>
      <c r="E83">
        <v>0.3</v>
      </c>
      <c r="F83" s="1">
        <v>1.0000000000000001E-5</v>
      </c>
      <c r="G83">
        <v>-8.5609787395261594E-2</v>
      </c>
      <c r="H83">
        <v>-2.91371994342291E-2</v>
      </c>
      <c r="I83">
        <v>-0.62052631578947404</v>
      </c>
      <c r="J83">
        <v>0.4</v>
      </c>
      <c r="K83">
        <v>188</v>
      </c>
      <c r="L83" t="s">
        <v>17</v>
      </c>
      <c r="M83">
        <v>0</v>
      </c>
      <c r="N83">
        <v>0.3</v>
      </c>
      <c r="O83">
        <v>0.7</v>
      </c>
      <c r="P83" t="s">
        <v>18</v>
      </c>
    </row>
    <row r="84" spans="1:16">
      <c r="A84">
        <v>600</v>
      </c>
      <c r="B84" t="s">
        <v>16</v>
      </c>
      <c r="C84">
        <v>1.8</v>
      </c>
      <c r="D84">
        <v>0</v>
      </c>
      <c r="E84">
        <v>0.6</v>
      </c>
      <c r="F84" s="1">
        <v>1.0000000000000001E-5</v>
      </c>
      <c r="G84">
        <v>-8.8976739424269993E-2</v>
      </c>
      <c r="H84">
        <v>0</v>
      </c>
      <c r="I84">
        <v>-0.88333333333333297</v>
      </c>
      <c r="J84">
        <v>0.39461538461538498</v>
      </c>
      <c r="K84">
        <v>188</v>
      </c>
      <c r="L84" t="s">
        <v>17</v>
      </c>
      <c r="M84">
        <v>0</v>
      </c>
      <c r="N84">
        <v>0.6</v>
      </c>
      <c r="O84">
        <v>0.7</v>
      </c>
      <c r="P84" t="s">
        <v>18</v>
      </c>
    </row>
    <row r="85" spans="1:16">
      <c r="A85">
        <v>600</v>
      </c>
      <c r="B85" t="s">
        <v>16</v>
      </c>
      <c r="C85">
        <v>1.8</v>
      </c>
      <c r="D85">
        <v>0</v>
      </c>
      <c r="E85">
        <v>0.9</v>
      </c>
      <c r="F85" s="1">
        <v>1.0000000000000001E-5</v>
      </c>
      <c r="G85">
        <v>2.18378868741823E-2</v>
      </c>
      <c r="H85">
        <v>9.0230664857530493E-2</v>
      </c>
      <c r="I85">
        <v>-0.66666666666666696</v>
      </c>
      <c r="J85">
        <v>0.42034358047016301</v>
      </c>
      <c r="K85">
        <v>188</v>
      </c>
      <c r="L85" t="s">
        <v>17</v>
      </c>
      <c r="M85">
        <v>0</v>
      </c>
      <c r="N85">
        <v>0.9</v>
      </c>
      <c r="O85">
        <v>0.7</v>
      </c>
      <c r="P85" t="s">
        <v>18</v>
      </c>
    </row>
    <row r="86" spans="1:16">
      <c r="A86">
        <v>600</v>
      </c>
      <c r="B86" t="s">
        <v>16</v>
      </c>
      <c r="C86">
        <v>1.8</v>
      </c>
      <c r="D86">
        <v>14</v>
      </c>
      <c r="E86">
        <v>0.3</v>
      </c>
      <c r="F86" s="1">
        <v>1.0000000000000001E-5</v>
      </c>
      <c r="G86">
        <v>-7.1475004617996996E-2</v>
      </c>
      <c r="H86">
        <v>0</v>
      </c>
      <c r="I86">
        <v>-0.58250000000000002</v>
      </c>
      <c r="J86">
        <v>0.27476489028213202</v>
      </c>
      <c r="K86">
        <v>188</v>
      </c>
      <c r="L86" t="s">
        <v>17</v>
      </c>
      <c r="M86">
        <v>2</v>
      </c>
      <c r="N86">
        <v>0.3</v>
      </c>
      <c r="O86">
        <v>0.7</v>
      </c>
      <c r="P86" t="s">
        <v>18</v>
      </c>
    </row>
    <row r="87" spans="1:16">
      <c r="A87">
        <v>600</v>
      </c>
      <c r="B87" t="s">
        <v>16</v>
      </c>
      <c r="C87">
        <v>1.8</v>
      </c>
      <c r="D87">
        <v>14</v>
      </c>
      <c r="E87">
        <v>0.6</v>
      </c>
      <c r="F87" s="1">
        <v>1.0000000000000001E-5</v>
      </c>
      <c r="G87">
        <v>-6.6595224613583998E-2</v>
      </c>
      <c r="H87">
        <v>0</v>
      </c>
      <c r="I87">
        <v>-0.64333333333333298</v>
      </c>
      <c r="J87">
        <v>0.31274509803921602</v>
      </c>
      <c r="K87">
        <v>188</v>
      </c>
      <c r="L87" t="s">
        <v>17</v>
      </c>
      <c r="M87">
        <v>2</v>
      </c>
      <c r="N87">
        <v>0.6</v>
      </c>
      <c r="O87">
        <v>0.7</v>
      </c>
      <c r="P87" t="s">
        <v>18</v>
      </c>
    </row>
    <row r="88" spans="1:16">
      <c r="A88">
        <v>600</v>
      </c>
      <c r="B88" t="s">
        <v>16</v>
      </c>
      <c r="C88">
        <v>1.8</v>
      </c>
      <c r="D88">
        <v>14</v>
      </c>
      <c r="E88">
        <v>0.9</v>
      </c>
      <c r="F88" s="1">
        <v>1.0000000000000001E-5</v>
      </c>
      <c r="G88">
        <v>-2.3710862761744299E-2</v>
      </c>
      <c r="H88">
        <v>3.0023959269242301E-2</v>
      </c>
      <c r="I88">
        <v>-0.62250000000000005</v>
      </c>
      <c r="J88">
        <v>0.39461538461538498</v>
      </c>
      <c r="K88">
        <v>188</v>
      </c>
      <c r="L88" t="s">
        <v>17</v>
      </c>
      <c r="M88">
        <v>2</v>
      </c>
      <c r="N88">
        <v>0.9</v>
      </c>
      <c r="O88">
        <v>0.7</v>
      </c>
      <c r="P88" t="s">
        <v>18</v>
      </c>
    </row>
    <row r="89" spans="1:16">
      <c r="A89">
        <v>600</v>
      </c>
      <c r="B89" t="s">
        <v>16</v>
      </c>
      <c r="C89">
        <v>1.8</v>
      </c>
      <c r="D89">
        <v>28</v>
      </c>
      <c r="E89">
        <v>0.3</v>
      </c>
      <c r="F89" s="1">
        <v>1.0000000000000001E-5</v>
      </c>
      <c r="G89">
        <v>2.8040155086503501E-3</v>
      </c>
      <c r="H89">
        <v>0</v>
      </c>
      <c r="I89">
        <v>0</v>
      </c>
      <c r="J89">
        <v>5.2419354838710098E-3</v>
      </c>
      <c r="K89">
        <v>188</v>
      </c>
      <c r="L89" t="s">
        <v>17</v>
      </c>
      <c r="M89">
        <v>4</v>
      </c>
      <c r="N89">
        <v>0.3</v>
      </c>
      <c r="O89">
        <v>0.7</v>
      </c>
      <c r="P89" t="s">
        <v>18</v>
      </c>
    </row>
    <row r="90" spans="1:16">
      <c r="A90">
        <v>600</v>
      </c>
      <c r="B90" t="s">
        <v>16</v>
      </c>
      <c r="C90">
        <v>1.8</v>
      </c>
      <c r="D90">
        <v>28</v>
      </c>
      <c r="E90">
        <v>0.6</v>
      </c>
      <c r="F90" s="1">
        <v>1.0000000000000001E-5</v>
      </c>
      <c r="G90">
        <v>1.8515433355488101E-3</v>
      </c>
      <c r="H90">
        <v>0</v>
      </c>
      <c r="I90">
        <v>0</v>
      </c>
      <c r="J90">
        <v>1.6300898995240599E-2</v>
      </c>
      <c r="K90">
        <v>188</v>
      </c>
      <c r="L90" t="s">
        <v>17</v>
      </c>
      <c r="M90">
        <v>4</v>
      </c>
      <c r="N90">
        <v>0.6</v>
      </c>
      <c r="O90">
        <v>0.7</v>
      </c>
      <c r="P90" t="s">
        <v>18</v>
      </c>
    </row>
    <row r="91" spans="1:16">
      <c r="A91">
        <v>600</v>
      </c>
      <c r="B91" t="s">
        <v>16</v>
      </c>
      <c r="C91">
        <v>1.8</v>
      </c>
      <c r="D91">
        <v>28</v>
      </c>
      <c r="E91">
        <v>0.9</v>
      </c>
      <c r="F91" s="1">
        <v>1.0000000000000001E-5</v>
      </c>
      <c r="G91">
        <v>1.7549681486422599E-3</v>
      </c>
      <c r="H91">
        <v>0</v>
      </c>
      <c r="I91">
        <v>-9.8560700876095097E-3</v>
      </c>
      <c r="J91">
        <v>1.4015444015444E-2</v>
      </c>
      <c r="K91">
        <v>188</v>
      </c>
      <c r="L91" t="s">
        <v>17</v>
      </c>
      <c r="M91">
        <v>4</v>
      </c>
      <c r="N91">
        <v>0.9</v>
      </c>
      <c r="O91">
        <v>0.7</v>
      </c>
      <c r="P91" t="s">
        <v>18</v>
      </c>
    </row>
    <row r="92" spans="1:16">
      <c r="A92">
        <v>1200</v>
      </c>
      <c r="B92" t="s">
        <v>16</v>
      </c>
      <c r="C92">
        <v>1</v>
      </c>
      <c r="D92">
        <v>-28</v>
      </c>
      <c r="E92">
        <v>0.3</v>
      </c>
      <c r="F92" s="1">
        <v>1.0000000000000001E-5</v>
      </c>
      <c r="G92">
        <v>3.0696978789060601E-2</v>
      </c>
      <c r="H92">
        <v>8.5144927536231901E-2</v>
      </c>
      <c r="I92">
        <v>-0.92142857142857104</v>
      </c>
      <c r="J92">
        <v>0.84999999999999698</v>
      </c>
      <c r="K92">
        <v>152</v>
      </c>
      <c r="L92" t="s">
        <v>17</v>
      </c>
      <c r="M92">
        <v>-4</v>
      </c>
      <c r="N92">
        <v>0.3</v>
      </c>
      <c r="O92">
        <v>0.5</v>
      </c>
      <c r="P92" t="s">
        <v>18</v>
      </c>
    </row>
    <row r="93" spans="1:16">
      <c r="A93">
        <v>1200</v>
      </c>
      <c r="B93" t="s">
        <v>16</v>
      </c>
      <c r="C93">
        <v>1</v>
      </c>
      <c r="D93">
        <v>-28</v>
      </c>
      <c r="E93">
        <v>0.6</v>
      </c>
      <c r="F93" s="1">
        <v>1.0000000000000001E-5</v>
      </c>
      <c r="G93">
        <v>0.32695552284195201</v>
      </c>
      <c r="H93">
        <v>0.27636363636363598</v>
      </c>
      <c r="I93">
        <v>-0.195769230769231</v>
      </c>
      <c r="J93">
        <v>1</v>
      </c>
      <c r="K93">
        <v>152</v>
      </c>
      <c r="L93" t="s">
        <v>17</v>
      </c>
      <c r="M93">
        <v>-4</v>
      </c>
      <c r="N93">
        <v>0.6</v>
      </c>
      <c r="O93">
        <v>0.5</v>
      </c>
      <c r="P93" t="s">
        <v>18</v>
      </c>
    </row>
    <row r="94" spans="1:16">
      <c r="A94">
        <v>1200</v>
      </c>
      <c r="B94" t="s">
        <v>16</v>
      </c>
      <c r="C94">
        <v>1</v>
      </c>
      <c r="D94">
        <v>-28</v>
      </c>
      <c r="E94">
        <v>0.9</v>
      </c>
      <c r="F94" s="1">
        <v>1.0000000000000001E-5</v>
      </c>
      <c r="G94">
        <v>0.55690360893440305</v>
      </c>
      <c r="H94">
        <v>0.577380952380952</v>
      </c>
      <c r="I94">
        <v>0</v>
      </c>
      <c r="J94">
        <v>1</v>
      </c>
      <c r="K94">
        <v>152</v>
      </c>
      <c r="L94" t="s">
        <v>17</v>
      </c>
      <c r="M94">
        <v>-4</v>
      </c>
      <c r="N94">
        <v>0.9</v>
      </c>
      <c r="O94">
        <v>0.5</v>
      </c>
      <c r="P94" t="s">
        <v>18</v>
      </c>
    </row>
    <row r="95" spans="1:16">
      <c r="A95">
        <v>1200</v>
      </c>
      <c r="B95" t="s">
        <v>16</v>
      </c>
      <c r="C95">
        <v>1</v>
      </c>
      <c r="D95">
        <v>-14</v>
      </c>
      <c r="E95">
        <v>0.3</v>
      </c>
      <c r="F95" s="1">
        <v>1.0000000000000001E-5</v>
      </c>
      <c r="G95">
        <v>0.109750579779263</v>
      </c>
      <c r="H95">
        <v>0.12744124462098599</v>
      </c>
      <c r="I95">
        <v>-0.37551020408163299</v>
      </c>
      <c r="J95">
        <v>1</v>
      </c>
      <c r="K95">
        <v>176</v>
      </c>
      <c r="L95" t="s">
        <v>17</v>
      </c>
      <c r="M95">
        <v>-2</v>
      </c>
      <c r="N95">
        <v>0.3</v>
      </c>
      <c r="O95">
        <v>0.5</v>
      </c>
      <c r="P95" t="s">
        <v>18</v>
      </c>
    </row>
    <row r="96" spans="1:16">
      <c r="A96">
        <v>1200</v>
      </c>
      <c r="B96" t="s">
        <v>16</v>
      </c>
      <c r="C96">
        <v>1</v>
      </c>
      <c r="D96">
        <v>-14</v>
      </c>
      <c r="E96">
        <v>0.6</v>
      </c>
      <c r="F96" s="1">
        <v>1.0000000000000001E-5</v>
      </c>
      <c r="G96">
        <v>0.22869537007409599</v>
      </c>
      <c r="H96">
        <v>0.280252583237658</v>
      </c>
      <c r="I96">
        <v>-0.44642857142857101</v>
      </c>
      <c r="J96">
        <v>1</v>
      </c>
      <c r="K96">
        <v>176</v>
      </c>
      <c r="L96" t="s">
        <v>17</v>
      </c>
      <c r="M96">
        <v>-2</v>
      </c>
      <c r="N96">
        <v>0.6</v>
      </c>
      <c r="O96">
        <v>0.5</v>
      </c>
      <c r="P96" t="s">
        <v>18</v>
      </c>
    </row>
    <row r="97" spans="1:16">
      <c r="A97">
        <v>1200</v>
      </c>
      <c r="B97" t="s">
        <v>16</v>
      </c>
      <c r="C97">
        <v>1</v>
      </c>
      <c r="D97">
        <v>-14</v>
      </c>
      <c r="E97">
        <v>0.9</v>
      </c>
      <c r="F97" s="1">
        <v>1.0000000000000001E-5</v>
      </c>
      <c r="G97">
        <v>0.52742004389995301</v>
      </c>
      <c r="H97">
        <v>0.57142857142857095</v>
      </c>
      <c r="I97">
        <v>-0.119047619047619</v>
      </c>
      <c r="J97">
        <v>1</v>
      </c>
      <c r="K97">
        <v>176</v>
      </c>
      <c r="L97" t="s">
        <v>17</v>
      </c>
      <c r="M97">
        <v>-2</v>
      </c>
      <c r="N97">
        <v>0.9</v>
      </c>
      <c r="O97">
        <v>0.5</v>
      </c>
      <c r="P97" t="s">
        <v>18</v>
      </c>
    </row>
    <row r="98" spans="1:16">
      <c r="A98">
        <v>1200</v>
      </c>
      <c r="B98" t="s">
        <v>16</v>
      </c>
      <c r="C98">
        <v>1</v>
      </c>
      <c r="D98">
        <v>0</v>
      </c>
      <c r="E98">
        <v>0.3</v>
      </c>
      <c r="F98" s="1">
        <v>1.0000000000000001E-5</v>
      </c>
      <c r="G98">
        <v>-2.6610716187359201E-2</v>
      </c>
      <c r="H98">
        <v>0</v>
      </c>
      <c r="I98">
        <v>-0.47613636363636402</v>
      </c>
      <c r="J98">
        <v>0.44722222222222102</v>
      </c>
      <c r="K98">
        <v>160</v>
      </c>
      <c r="L98" t="s">
        <v>17</v>
      </c>
      <c r="M98">
        <v>0</v>
      </c>
      <c r="N98">
        <v>0.3</v>
      </c>
      <c r="O98">
        <v>0.5</v>
      </c>
      <c r="P98" t="s">
        <v>18</v>
      </c>
    </row>
    <row r="99" spans="1:16">
      <c r="A99">
        <v>1200</v>
      </c>
      <c r="B99" t="s">
        <v>16</v>
      </c>
      <c r="C99">
        <v>1</v>
      </c>
      <c r="D99">
        <v>0</v>
      </c>
      <c r="E99">
        <v>0.6</v>
      </c>
      <c r="F99" s="1">
        <v>1.0000000000000001E-5</v>
      </c>
      <c r="G99">
        <v>0.108970289567119</v>
      </c>
      <c r="H99">
        <v>0.123475609756098</v>
      </c>
      <c r="I99">
        <v>-0.52903225806451604</v>
      </c>
      <c r="J99">
        <v>0.78888888888888498</v>
      </c>
      <c r="K99">
        <v>160</v>
      </c>
      <c r="L99" t="s">
        <v>17</v>
      </c>
      <c r="M99">
        <v>0</v>
      </c>
      <c r="N99">
        <v>0.6</v>
      </c>
      <c r="O99">
        <v>0.5</v>
      </c>
      <c r="P99" t="s">
        <v>18</v>
      </c>
    </row>
    <row r="100" spans="1:16">
      <c r="A100">
        <v>1200</v>
      </c>
      <c r="B100" t="s">
        <v>16</v>
      </c>
      <c r="C100">
        <v>1</v>
      </c>
      <c r="D100">
        <v>0</v>
      </c>
      <c r="E100">
        <v>0.9</v>
      </c>
      <c r="F100" s="1">
        <v>1.0000000000000001E-5</v>
      </c>
      <c r="G100">
        <v>0.308900939513988</v>
      </c>
      <c r="H100">
        <v>0.35160160160160198</v>
      </c>
      <c r="I100">
        <v>-0.28721804511278198</v>
      </c>
      <c r="J100">
        <v>0.77796934865900402</v>
      </c>
      <c r="K100">
        <v>160</v>
      </c>
      <c r="L100" t="s">
        <v>17</v>
      </c>
      <c r="M100">
        <v>0</v>
      </c>
      <c r="N100">
        <v>0.9</v>
      </c>
      <c r="O100">
        <v>0.5</v>
      </c>
      <c r="P100" t="s">
        <v>18</v>
      </c>
    </row>
    <row r="101" spans="1:16">
      <c r="A101">
        <v>1200</v>
      </c>
      <c r="B101" t="s">
        <v>16</v>
      </c>
      <c r="C101">
        <v>1</v>
      </c>
      <c r="D101">
        <v>14</v>
      </c>
      <c r="E101">
        <v>0.3</v>
      </c>
      <c r="F101" s="1">
        <v>1.0000000000000001E-5</v>
      </c>
      <c r="G101">
        <v>-8.4794844116593299E-2</v>
      </c>
      <c r="H101">
        <v>0</v>
      </c>
      <c r="I101">
        <v>-0.79032258064516103</v>
      </c>
      <c r="J101">
        <v>0.5</v>
      </c>
      <c r="K101">
        <v>160</v>
      </c>
      <c r="L101" t="s">
        <v>17</v>
      </c>
      <c r="M101">
        <v>2</v>
      </c>
      <c r="N101">
        <v>0.3</v>
      </c>
      <c r="O101">
        <v>0.5</v>
      </c>
      <c r="P101" t="s">
        <v>18</v>
      </c>
    </row>
    <row r="102" spans="1:16">
      <c r="A102">
        <v>1200</v>
      </c>
      <c r="B102" t="s">
        <v>16</v>
      </c>
      <c r="C102">
        <v>1</v>
      </c>
      <c r="D102">
        <v>14</v>
      </c>
      <c r="E102">
        <v>0.6</v>
      </c>
      <c r="F102" s="1">
        <v>1.0000000000000001E-5</v>
      </c>
      <c r="G102">
        <v>2.2089910307716799E-3</v>
      </c>
      <c r="H102">
        <v>9.7619047619047605E-2</v>
      </c>
      <c r="I102">
        <v>-0.68437499999999996</v>
      </c>
      <c r="J102">
        <v>0.44722222222222102</v>
      </c>
      <c r="K102">
        <v>160</v>
      </c>
      <c r="L102" t="s">
        <v>17</v>
      </c>
      <c r="M102">
        <v>2</v>
      </c>
      <c r="N102">
        <v>0.6</v>
      </c>
      <c r="O102">
        <v>0.5</v>
      </c>
      <c r="P102" t="s">
        <v>18</v>
      </c>
    </row>
    <row r="103" spans="1:16">
      <c r="A103">
        <v>1200</v>
      </c>
      <c r="B103" t="s">
        <v>16</v>
      </c>
      <c r="C103">
        <v>1</v>
      </c>
      <c r="D103">
        <v>14</v>
      </c>
      <c r="E103">
        <v>0.9</v>
      </c>
      <c r="F103" s="1">
        <v>1.0000000000000001E-5</v>
      </c>
      <c r="G103">
        <v>0.11304317678492599</v>
      </c>
      <c r="H103">
        <v>0.178628389154705</v>
      </c>
      <c r="I103">
        <v>-0.45403225806451603</v>
      </c>
      <c r="J103">
        <v>0.54545454545454497</v>
      </c>
      <c r="K103">
        <v>160</v>
      </c>
      <c r="L103" t="s">
        <v>17</v>
      </c>
      <c r="M103">
        <v>2</v>
      </c>
      <c r="N103">
        <v>0.9</v>
      </c>
      <c r="O103">
        <v>0.5</v>
      </c>
      <c r="P103" t="s">
        <v>18</v>
      </c>
    </row>
    <row r="104" spans="1:16">
      <c r="A104">
        <v>1200</v>
      </c>
      <c r="B104" t="s">
        <v>16</v>
      </c>
      <c r="C104">
        <v>1</v>
      </c>
      <c r="D104">
        <v>28</v>
      </c>
      <c r="E104">
        <v>0.3</v>
      </c>
      <c r="F104" s="1">
        <v>1.0000000000000001E-5</v>
      </c>
      <c r="G104">
        <v>-4.8384876514260796E-3</v>
      </c>
      <c r="H104">
        <v>0</v>
      </c>
      <c r="I104">
        <v>-0.21745923913043499</v>
      </c>
      <c r="J104">
        <v>0.17248875562218899</v>
      </c>
      <c r="K104">
        <v>160</v>
      </c>
      <c r="L104" t="s">
        <v>17</v>
      </c>
      <c r="M104">
        <v>4</v>
      </c>
      <c r="N104">
        <v>0.3</v>
      </c>
      <c r="O104">
        <v>0.5</v>
      </c>
      <c r="P104" t="s">
        <v>18</v>
      </c>
    </row>
    <row r="105" spans="1:16">
      <c r="A105">
        <v>1200</v>
      </c>
      <c r="B105" t="s">
        <v>16</v>
      </c>
      <c r="C105">
        <v>1</v>
      </c>
      <c r="D105">
        <v>28</v>
      </c>
      <c r="E105">
        <v>0.6</v>
      </c>
      <c r="F105" s="1">
        <v>1.0000000000000001E-5</v>
      </c>
      <c r="G105">
        <v>4.9852661001907996E-3</v>
      </c>
      <c r="H105">
        <v>0</v>
      </c>
      <c r="I105">
        <v>-0.209536874451273</v>
      </c>
      <c r="J105">
        <v>0.222385620915033</v>
      </c>
      <c r="K105">
        <v>160</v>
      </c>
      <c r="L105" t="s">
        <v>17</v>
      </c>
      <c r="M105">
        <v>4</v>
      </c>
      <c r="N105">
        <v>0.6</v>
      </c>
      <c r="O105">
        <v>0.5</v>
      </c>
      <c r="P105" t="s">
        <v>18</v>
      </c>
    </row>
    <row r="106" spans="1:16">
      <c r="A106">
        <v>1200</v>
      </c>
      <c r="B106" t="s">
        <v>16</v>
      </c>
      <c r="C106">
        <v>1</v>
      </c>
      <c r="D106">
        <v>28</v>
      </c>
      <c r="E106">
        <v>0.9</v>
      </c>
      <c r="F106" s="1">
        <v>1.0000000000000001E-5</v>
      </c>
      <c r="G106">
        <v>1.7189952167996E-2</v>
      </c>
      <c r="H106">
        <v>0</v>
      </c>
      <c r="I106">
        <v>-0.17254050925925901</v>
      </c>
      <c r="J106">
        <v>0.28966131907308301</v>
      </c>
      <c r="K106">
        <v>160</v>
      </c>
      <c r="L106" t="s">
        <v>17</v>
      </c>
      <c r="M106">
        <v>4</v>
      </c>
      <c r="N106">
        <v>0.9</v>
      </c>
      <c r="O106">
        <v>0.5</v>
      </c>
      <c r="P106" t="s">
        <v>18</v>
      </c>
    </row>
    <row r="107" spans="1:16">
      <c r="A107">
        <v>1200</v>
      </c>
      <c r="B107" t="s">
        <v>16</v>
      </c>
      <c r="C107">
        <v>1.8</v>
      </c>
      <c r="D107">
        <v>-28</v>
      </c>
      <c r="E107">
        <v>0.3</v>
      </c>
      <c r="F107" s="1">
        <v>1.0000000000000001E-5</v>
      </c>
      <c r="G107">
        <v>-6.0405277602169502E-2</v>
      </c>
      <c r="H107">
        <v>0</v>
      </c>
      <c r="I107">
        <v>-0.83333333333333304</v>
      </c>
      <c r="J107">
        <v>0.45954907161803699</v>
      </c>
      <c r="K107">
        <v>184</v>
      </c>
      <c r="L107" t="s">
        <v>17</v>
      </c>
      <c r="M107">
        <v>-4</v>
      </c>
      <c r="N107">
        <v>0.3</v>
      </c>
      <c r="O107">
        <v>0.7</v>
      </c>
      <c r="P107" t="s">
        <v>18</v>
      </c>
    </row>
    <row r="108" spans="1:16">
      <c r="A108">
        <v>1200</v>
      </c>
      <c r="B108" t="s">
        <v>16</v>
      </c>
      <c r="C108">
        <v>1.8</v>
      </c>
      <c r="D108">
        <v>-28</v>
      </c>
      <c r="E108">
        <v>0.6</v>
      </c>
      <c r="F108" s="1">
        <v>1.0000000000000001E-5</v>
      </c>
      <c r="G108">
        <v>0.15716227804277799</v>
      </c>
      <c r="H108">
        <v>0.188545150501672</v>
      </c>
      <c r="I108">
        <v>-0.39</v>
      </c>
      <c r="J108">
        <v>0.60879120879120896</v>
      </c>
      <c r="K108">
        <v>184</v>
      </c>
      <c r="L108" t="s">
        <v>17</v>
      </c>
      <c r="M108">
        <v>-4</v>
      </c>
      <c r="N108">
        <v>0.6</v>
      </c>
      <c r="O108">
        <v>0.7</v>
      </c>
      <c r="P108" t="s">
        <v>18</v>
      </c>
    </row>
    <row r="109" spans="1:16">
      <c r="A109">
        <v>1200</v>
      </c>
      <c r="B109" t="s">
        <v>16</v>
      </c>
      <c r="C109">
        <v>1.8</v>
      </c>
      <c r="D109">
        <v>-28</v>
      </c>
      <c r="E109">
        <v>0.9</v>
      </c>
      <c r="F109" s="1">
        <v>1.0000000000000001E-5</v>
      </c>
      <c r="G109">
        <v>0.45748470100555899</v>
      </c>
      <c r="H109">
        <v>0.46727828746177402</v>
      </c>
      <c r="I109">
        <v>0</v>
      </c>
      <c r="J109">
        <v>1</v>
      </c>
      <c r="K109">
        <v>184</v>
      </c>
      <c r="L109" t="s">
        <v>17</v>
      </c>
      <c r="M109">
        <v>-4</v>
      </c>
      <c r="N109">
        <v>0.9</v>
      </c>
      <c r="O109">
        <v>0.7</v>
      </c>
      <c r="P109" t="s">
        <v>18</v>
      </c>
    </row>
    <row r="110" spans="1:16">
      <c r="A110">
        <v>1200</v>
      </c>
      <c r="B110" t="s">
        <v>16</v>
      </c>
      <c r="C110">
        <v>1.8</v>
      </c>
      <c r="D110">
        <v>-14</v>
      </c>
      <c r="E110">
        <v>0.3</v>
      </c>
      <c r="F110" s="1">
        <v>1.0000000000000001E-5</v>
      </c>
      <c r="G110">
        <v>-8.7799580859649201E-2</v>
      </c>
      <c r="H110">
        <v>-2.1853546910755101E-2</v>
      </c>
      <c r="I110">
        <v>-0.84880952380952401</v>
      </c>
      <c r="J110">
        <v>0.45101010101010103</v>
      </c>
      <c r="K110">
        <v>188</v>
      </c>
      <c r="L110" t="s">
        <v>17</v>
      </c>
      <c r="M110">
        <v>-2</v>
      </c>
      <c r="N110">
        <v>0.3</v>
      </c>
      <c r="O110">
        <v>0.7</v>
      </c>
      <c r="P110" t="s">
        <v>18</v>
      </c>
    </row>
    <row r="111" spans="1:16">
      <c r="A111">
        <v>1200</v>
      </c>
      <c r="B111" t="s">
        <v>16</v>
      </c>
      <c r="C111">
        <v>1.8</v>
      </c>
      <c r="D111">
        <v>-14</v>
      </c>
      <c r="E111">
        <v>0.6</v>
      </c>
      <c r="F111" s="1">
        <v>1.0000000000000001E-5</v>
      </c>
      <c r="G111">
        <v>1.03115350573404E-2</v>
      </c>
      <c r="H111">
        <v>0.112847222222222</v>
      </c>
      <c r="I111">
        <v>-0.80812499999999998</v>
      </c>
      <c r="J111">
        <v>0.44603594080338299</v>
      </c>
      <c r="K111">
        <v>188</v>
      </c>
      <c r="L111" t="s">
        <v>17</v>
      </c>
      <c r="M111">
        <v>-2</v>
      </c>
      <c r="N111">
        <v>0.6</v>
      </c>
      <c r="O111">
        <v>0.7</v>
      </c>
      <c r="P111" t="s">
        <v>18</v>
      </c>
    </row>
    <row r="112" spans="1:16">
      <c r="A112">
        <v>1200</v>
      </c>
      <c r="B112" t="s">
        <v>16</v>
      </c>
      <c r="C112">
        <v>1.8</v>
      </c>
      <c r="D112">
        <v>-14</v>
      </c>
      <c r="E112">
        <v>0.9</v>
      </c>
      <c r="F112" s="1">
        <v>1.0000000000000001E-5</v>
      </c>
      <c r="G112">
        <v>0.275683401191403</v>
      </c>
      <c r="H112">
        <v>0.34583605131550299</v>
      </c>
      <c r="I112">
        <v>-0.24027777777777801</v>
      </c>
      <c r="J112">
        <v>0.65833333333333299</v>
      </c>
      <c r="K112">
        <v>188</v>
      </c>
      <c r="L112" t="s">
        <v>17</v>
      </c>
      <c r="M112">
        <v>-2</v>
      </c>
      <c r="N112">
        <v>0.9</v>
      </c>
      <c r="O112">
        <v>0.7</v>
      </c>
      <c r="P112" t="s">
        <v>18</v>
      </c>
    </row>
    <row r="113" spans="1:16">
      <c r="A113">
        <v>1200</v>
      </c>
      <c r="B113" t="s">
        <v>16</v>
      </c>
      <c r="C113">
        <v>1.8</v>
      </c>
      <c r="D113">
        <v>0</v>
      </c>
      <c r="E113">
        <v>0.3</v>
      </c>
      <c r="F113" s="1">
        <v>1.0000000000000001E-5</v>
      </c>
      <c r="G113">
        <v>-8.9286693772977099E-2</v>
      </c>
      <c r="H113">
        <v>-9.3478260869565202E-3</v>
      </c>
      <c r="I113">
        <v>-0.62583333333333302</v>
      </c>
      <c r="J113">
        <v>0.39461538461538498</v>
      </c>
      <c r="K113">
        <v>188</v>
      </c>
      <c r="L113" t="s">
        <v>17</v>
      </c>
      <c r="M113">
        <v>0</v>
      </c>
      <c r="N113">
        <v>0.3</v>
      </c>
      <c r="O113">
        <v>0.7</v>
      </c>
      <c r="P113" t="s">
        <v>18</v>
      </c>
    </row>
    <row r="114" spans="1:16">
      <c r="A114">
        <v>1200</v>
      </c>
      <c r="B114" t="s">
        <v>16</v>
      </c>
      <c r="C114">
        <v>1.8</v>
      </c>
      <c r="D114">
        <v>0</v>
      </c>
      <c r="E114">
        <v>0.6</v>
      </c>
      <c r="F114" s="1">
        <v>1.0000000000000001E-5</v>
      </c>
      <c r="G114">
        <v>-3.9601091352705203E-2</v>
      </c>
      <c r="H114">
        <v>9.7619047619047598E-3</v>
      </c>
      <c r="I114">
        <v>-0.86519607843137303</v>
      </c>
      <c r="J114">
        <v>0.40764705882352897</v>
      </c>
      <c r="K114">
        <v>188</v>
      </c>
      <c r="L114" t="s">
        <v>17</v>
      </c>
      <c r="M114">
        <v>0</v>
      </c>
      <c r="N114">
        <v>0.6</v>
      </c>
      <c r="O114">
        <v>0.7</v>
      </c>
      <c r="P114" t="s">
        <v>18</v>
      </c>
    </row>
    <row r="115" spans="1:16">
      <c r="A115">
        <v>1200</v>
      </c>
      <c r="B115" t="s">
        <v>16</v>
      </c>
      <c r="C115">
        <v>1.8</v>
      </c>
      <c r="D115">
        <v>0</v>
      </c>
      <c r="E115">
        <v>0.9</v>
      </c>
      <c r="F115" s="1">
        <v>1.0000000000000001E-5</v>
      </c>
      <c r="G115">
        <v>0.14344053257040201</v>
      </c>
      <c r="H115">
        <v>0.2</v>
      </c>
      <c r="I115">
        <v>-0.46338235294117602</v>
      </c>
      <c r="J115">
        <v>0.56233766233766203</v>
      </c>
      <c r="K115">
        <v>188</v>
      </c>
      <c r="L115" t="s">
        <v>17</v>
      </c>
      <c r="M115">
        <v>0</v>
      </c>
      <c r="N115">
        <v>0.9</v>
      </c>
      <c r="O115">
        <v>0.7</v>
      </c>
      <c r="P115" t="s">
        <v>18</v>
      </c>
    </row>
    <row r="116" spans="1:16">
      <c r="A116">
        <v>1200</v>
      </c>
      <c r="B116" t="s">
        <v>16</v>
      </c>
      <c r="C116">
        <v>1.8</v>
      </c>
      <c r="D116">
        <v>14</v>
      </c>
      <c r="E116">
        <v>0.3</v>
      </c>
      <c r="F116" s="1">
        <v>1.0000000000000001E-5</v>
      </c>
      <c r="G116">
        <v>-4.0982107580098799E-2</v>
      </c>
      <c r="H116">
        <v>1.4219443323920901E-2</v>
      </c>
      <c r="I116">
        <v>-0.59</v>
      </c>
      <c r="J116">
        <v>0.36727941176470602</v>
      </c>
      <c r="K116">
        <v>188</v>
      </c>
      <c r="L116" t="s">
        <v>17</v>
      </c>
      <c r="M116">
        <v>2</v>
      </c>
      <c r="N116">
        <v>0.3</v>
      </c>
      <c r="O116">
        <v>0.7</v>
      </c>
      <c r="P116" t="s">
        <v>18</v>
      </c>
    </row>
    <row r="117" spans="1:16">
      <c r="A117">
        <v>1200</v>
      </c>
      <c r="B117" t="s">
        <v>16</v>
      </c>
      <c r="C117">
        <v>1.8</v>
      </c>
      <c r="D117">
        <v>14</v>
      </c>
      <c r="E117">
        <v>0.6</v>
      </c>
      <c r="F117" s="1">
        <v>1.0000000000000001E-5</v>
      </c>
      <c r="G117">
        <v>-5.0254851001894099E-2</v>
      </c>
      <c r="H117">
        <v>0</v>
      </c>
      <c r="I117">
        <v>-0.56499999999999995</v>
      </c>
      <c r="J117">
        <v>0.359939759036145</v>
      </c>
      <c r="K117">
        <v>188</v>
      </c>
      <c r="L117" t="s">
        <v>17</v>
      </c>
      <c r="M117">
        <v>2</v>
      </c>
      <c r="N117">
        <v>0.6</v>
      </c>
      <c r="O117">
        <v>0.7</v>
      </c>
      <c r="P117" t="s">
        <v>18</v>
      </c>
    </row>
    <row r="118" spans="1:16">
      <c r="A118">
        <v>1200</v>
      </c>
      <c r="B118" t="s">
        <v>16</v>
      </c>
      <c r="C118">
        <v>1.8</v>
      </c>
      <c r="D118">
        <v>14</v>
      </c>
      <c r="E118">
        <v>0.9</v>
      </c>
      <c r="F118" s="1">
        <v>1.0000000000000001E-5</v>
      </c>
      <c r="G118">
        <v>-5.6851438672802703E-3</v>
      </c>
      <c r="H118">
        <v>4.2957227138643098E-2</v>
      </c>
      <c r="I118">
        <v>-0.6</v>
      </c>
      <c r="J118">
        <v>0.37636868920796701</v>
      </c>
      <c r="K118">
        <v>188</v>
      </c>
      <c r="L118" t="s">
        <v>17</v>
      </c>
      <c r="M118">
        <v>2</v>
      </c>
      <c r="N118">
        <v>0.9</v>
      </c>
      <c r="O118">
        <v>0.7</v>
      </c>
      <c r="P118" t="s">
        <v>18</v>
      </c>
    </row>
    <row r="119" spans="1:16">
      <c r="A119">
        <v>1200</v>
      </c>
      <c r="B119" t="s">
        <v>16</v>
      </c>
      <c r="C119">
        <v>1.8</v>
      </c>
      <c r="D119">
        <v>28</v>
      </c>
      <c r="E119">
        <v>0.3</v>
      </c>
      <c r="F119" s="1">
        <v>1.0000000000000001E-5</v>
      </c>
      <c r="G119">
        <v>3.54158674838328E-3</v>
      </c>
      <c r="H119">
        <v>0</v>
      </c>
      <c r="I119">
        <v>-1.2250836607012899E-2</v>
      </c>
      <c r="J119">
        <v>1.58906882591093E-2</v>
      </c>
      <c r="K119">
        <v>188</v>
      </c>
      <c r="L119" t="s">
        <v>17</v>
      </c>
      <c r="M119">
        <v>4</v>
      </c>
      <c r="N119">
        <v>0.3</v>
      </c>
      <c r="O119">
        <v>0.7</v>
      </c>
      <c r="P119" t="s">
        <v>18</v>
      </c>
    </row>
    <row r="120" spans="1:16">
      <c r="A120">
        <v>1200</v>
      </c>
      <c r="B120" t="s">
        <v>16</v>
      </c>
      <c r="C120">
        <v>1.8</v>
      </c>
      <c r="D120">
        <v>28</v>
      </c>
      <c r="E120">
        <v>0.6</v>
      </c>
      <c r="F120" s="1">
        <v>1.0000000000000001E-5</v>
      </c>
      <c r="G120" s="1">
        <v>5.9775702896655E-5</v>
      </c>
      <c r="H120">
        <v>0</v>
      </c>
      <c r="I120">
        <v>0</v>
      </c>
      <c r="J120">
        <v>1.1360153256705001E-2</v>
      </c>
      <c r="K120">
        <v>188</v>
      </c>
      <c r="L120" t="s">
        <v>17</v>
      </c>
      <c r="M120">
        <v>4</v>
      </c>
      <c r="N120">
        <v>0.6</v>
      </c>
      <c r="O120">
        <v>0.7</v>
      </c>
      <c r="P120" t="s">
        <v>18</v>
      </c>
    </row>
    <row r="121" spans="1:16">
      <c r="A121">
        <v>1200</v>
      </c>
      <c r="B121" t="s">
        <v>16</v>
      </c>
      <c r="C121">
        <v>1.8</v>
      </c>
      <c r="D121">
        <v>28</v>
      </c>
      <c r="E121">
        <v>0.9</v>
      </c>
      <c r="F121" s="1">
        <v>1.0000000000000001E-5</v>
      </c>
      <c r="G121">
        <v>-6.4287553066869996E-4</v>
      </c>
      <c r="H121">
        <v>0</v>
      </c>
      <c r="I121">
        <v>-1.30507662835249E-2</v>
      </c>
      <c r="J121">
        <v>8.76945376869088E-3</v>
      </c>
      <c r="K121">
        <v>188</v>
      </c>
      <c r="L121" t="s">
        <v>17</v>
      </c>
      <c r="M121">
        <v>4</v>
      </c>
      <c r="N121">
        <v>0.9</v>
      </c>
      <c r="O121">
        <v>0.7</v>
      </c>
      <c r="P121" t="s">
        <v>18</v>
      </c>
    </row>
  </sheetData>
  <pageMargins left="0.75" right="0.75" top="1" bottom="1" header="0.5" footer="0.5"/>
  <pageSetup orientation="portrait" horizontalDpi="4294967292" verticalDpi="4294967292"/>
  <extLst>
    <ext xmlns:mx="http://schemas.microsoft.com/office/mac/excel/2008/main" uri="{64002731-A6B0-56B0-2670-7721B7C09600}">
      <mx:PLV Mode="0" OnePage="0" WScale="0"/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FinalTable</vt:lpstr>
      <vt:lpstr>pivot</vt:lpstr>
      <vt:lpstr>paste_table_1.csv_here</vt:lpstr>
    </vt:vector>
  </TitlesOfParts>
  <Company/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David Champredon</dc:creator>
  <cp:lastModifiedBy>David Champredon</cp:lastModifiedBy>
  <dcterms:created xsi:type="dcterms:W3CDTF">2017-02-11T14:21:22Z</dcterms:created>
  <dcterms:modified xsi:type="dcterms:W3CDTF">2017-02-13T02:19:58Z</dcterms:modified>
</cp:coreProperties>
</file>